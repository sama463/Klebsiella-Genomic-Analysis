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f725e978236e787/Documente/"/>
    </mc:Choice>
  </mc:AlternateContent>
  <xr:revisionPtr revIDLastSave="2" documentId="11_2C0F4ED3DAA8C1E39CDE58B460F5E03BF7E93D19" xr6:coauthVersionLast="47" xr6:coauthVersionMax="47" xr10:uidLastSave="{012AA100-36B9-4E2B-96DA-7EE743FDEC26}"/>
  <bookViews>
    <workbookView minimized="1" xWindow="1440" yWindow="1140" windowWidth="21600" windowHeight="11100" xr2:uid="{00000000-000D-0000-FFFF-FFFF00000000}"/>
  </bookViews>
  <sheets>
    <sheet name="Final results" sheetId="1" r:id="rId1"/>
    <sheet name="Matched_samples" sheetId="2" r:id="rId2"/>
    <sheet name="Summary" sheetId="3" r:id="rId3"/>
    <sheet name="Selected_marker_list" sheetId="4" r:id="rId4"/>
    <sheet name="AST_columns" sheetId="5" r:id="rId5"/>
    <sheet name="Gene-drug tests corrected" sheetId="6" r:id="rId6"/>
    <sheet name="Verification summary" sheetId="7" r:id="rId7"/>
    <sheet name="Source_Audit" sheetId="8" r:id="rId8"/>
    <sheet name="Publisher_AST_raw" sheetId="9" r:id="rId9"/>
    <sheet name="Publisher_Genes_raw" sheetId="10" r:id="rId10"/>
    <sheet name="Publisher_Mutations_raw" sheetId="11" r:id="rId11"/>
    <sheet name="Publisher_MIC_raw" sheetId="12" r:id="rId12"/>
    <sheet name="Verified_Matched_Data" sheetId="13" r:id="rId13"/>
    <sheet name="Correlation_Summary" sheetId="14" r:id="rId14"/>
    <sheet name="Gene_Drug_Tests_Verified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3" l="1"/>
  <c r="L28" i="13"/>
  <c r="J28" i="13"/>
  <c r="H28" i="13"/>
  <c r="F28" i="13"/>
  <c r="N27" i="13"/>
  <c r="L27" i="13"/>
  <c r="J27" i="13"/>
  <c r="H27" i="13"/>
  <c r="F27" i="13"/>
  <c r="N26" i="13"/>
  <c r="L26" i="13"/>
  <c r="J26" i="13"/>
  <c r="H26" i="13"/>
  <c r="F26" i="13"/>
  <c r="N25" i="13"/>
  <c r="L25" i="13"/>
  <c r="J25" i="13"/>
  <c r="H25" i="13"/>
  <c r="F25" i="13"/>
  <c r="N24" i="13"/>
  <c r="L24" i="13"/>
  <c r="J24" i="13"/>
  <c r="H24" i="13"/>
  <c r="F24" i="13"/>
  <c r="N23" i="13"/>
  <c r="L23" i="13"/>
  <c r="J23" i="13"/>
  <c r="H23" i="13"/>
  <c r="F23" i="13"/>
  <c r="N22" i="13"/>
  <c r="L22" i="13"/>
  <c r="J22" i="13"/>
  <c r="H22" i="13"/>
  <c r="F22" i="13"/>
  <c r="N21" i="13"/>
  <c r="L21" i="13"/>
  <c r="J21" i="13"/>
  <c r="H21" i="13"/>
  <c r="F21" i="13"/>
  <c r="N20" i="13"/>
  <c r="L20" i="13"/>
  <c r="J20" i="13"/>
  <c r="H20" i="13"/>
  <c r="F20" i="13"/>
  <c r="N19" i="13"/>
  <c r="L19" i="13"/>
  <c r="J19" i="13"/>
  <c r="H19" i="13"/>
  <c r="F19" i="13"/>
  <c r="N18" i="13"/>
  <c r="L18" i="13"/>
  <c r="J18" i="13"/>
  <c r="H18" i="13"/>
  <c r="F18" i="13"/>
  <c r="N17" i="13"/>
  <c r="L17" i="13"/>
  <c r="J17" i="13"/>
  <c r="H17" i="13"/>
  <c r="F17" i="13"/>
  <c r="N16" i="13"/>
  <c r="L16" i="13"/>
  <c r="J16" i="13"/>
  <c r="H16" i="13"/>
  <c r="F16" i="13"/>
  <c r="N15" i="13"/>
  <c r="L15" i="13"/>
  <c r="J15" i="13"/>
  <c r="H15" i="13"/>
  <c r="F15" i="13"/>
  <c r="N14" i="13"/>
  <c r="L14" i="13"/>
  <c r="J14" i="13"/>
  <c r="H14" i="13"/>
  <c r="F14" i="13"/>
  <c r="N13" i="13"/>
  <c r="L13" i="13"/>
  <c r="J13" i="13"/>
  <c r="H13" i="13"/>
  <c r="F13" i="13"/>
  <c r="N12" i="13"/>
  <c r="L12" i="13"/>
  <c r="J12" i="13"/>
  <c r="H12" i="13"/>
  <c r="F12" i="13"/>
  <c r="N11" i="13"/>
  <c r="L11" i="13"/>
  <c r="J11" i="13"/>
  <c r="H11" i="13"/>
  <c r="F11" i="13"/>
  <c r="N10" i="13"/>
  <c r="L10" i="13"/>
  <c r="J10" i="13"/>
  <c r="H10" i="13"/>
  <c r="F10" i="13"/>
  <c r="N9" i="13"/>
  <c r="L9" i="13"/>
  <c r="J9" i="13"/>
  <c r="H9" i="13"/>
  <c r="F9" i="13"/>
  <c r="N8" i="13"/>
  <c r="L8" i="13"/>
  <c r="J8" i="13"/>
  <c r="H8" i="13"/>
  <c r="F8" i="13"/>
  <c r="N7" i="13"/>
  <c r="L7" i="13"/>
  <c r="J7" i="13"/>
  <c r="H7" i="13"/>
  <c r="F7" i="13"/>
  <c r="N6" i="13"/>
  <c r="L6" i="13"/>
  <c r="J6" i="13"/>
  <c r="H6" i="13"/>
  <c r="F6" i="13"/>
  <c r="N5" i="13"/>
  <c r="L5" i="13"/>
  <c r="J5" i="13"/>
  <c r="H5" i="13"/>
  <c r="F5" i="13"/>
  <c r="N4" i="13"/>
  <c r="L4" i="13"/>
  <c r="J4" i="13"/>
  <c r="H4" i="13"/>
  <c r="F4" i="13"/>
  <c r="N3" i="13"/>
  <c r="L3" i="13"/>
  <c r="J3" i="13"/>
  <c r="H3" i="13"/>
  <c r="F3" i="13"/>
  <c r="N2" i="13"/>
  <c r="L2" i="13"/>
  <c r="J2" i="13"/>
  <c r="H2" i="13"/>
  <c r="F2" i="13"/>
</calcChain>
</file>

<file path=xl/sharedStrings.xml><?xml version="1.0" encoding="utf-8"?>
<sst xmlns="http://schemas.openxmlformats.org/spreadsheetml/2006/main" count="8554" uniqueCount="596">
  <si>
    <t>Analysis</t>
  </si>
  <si>
    <t>n</t>
  </si>
  <si>
    <t>Estimate</t>
  </si>
  <si>
    <t>p-value</t>
  </si>
  <si>
    <t>Interpretation</t>
  </si>
  <si>
    <t>All 72 markers vs R-count</t>
  </si>
  <si>
    <t>Pearson r=0.6935</t>
  </si>
  <si>
    <t>Exploratory positive correlation</t>
  </si>
  <si>
    <t>Spearman rho=0.5639</t>
  </si>
  <si>
    <t>Exploratory positive monotonic association</t>
  </si>
  <si>
    <t>Provisional 54-marker subset vs R-count</t>
  </si>
  <si>
    <t>Pearson r=0.6916</t>
  </si>
  <si>
    <t>Provisional subset; do not use as primary result without marker review</t>
  </si>
  <si>
    <t>Spearman rho=0.5446</t>
  </si>
  <si>
    <t>Gene-drug Fisher test: blaNDM-1 / meropenem</t>
  </si>
  <si>
    <t>OR≈15.17</t>
  </si>
  <si>
    <t>Unadjusted exploratory result; multiple testing and sparse cells</t>
  </si>
  <si>
    <t>Gene-drug Fisher test: blaCTX-M-15 / cefotaxime</t>
  </si>
  <si>
    <t>OR is unstable due to zero cell</t>
  </si>
  <si>
    <t>Important limitation</t>
  </si>
  <si>
    <t/>
  </si>
  <si>
    <t>Original paper already compares genomic features and resistance profiles; do not claim broad genotype–phenotype novelty.</t>
  </si>
  <si>
    <t>Sample</t>
  </si>
  <si>
    <t>R_count</t>
  </si>
  <si>
    <t>I_count</t>
  </si>
  <si>
    <t>SDD_count</t>
  </si>
  <si>
    <t>Resistance_gene_count_refined</t>
  </si>
  <si>
    <t>All_recorded_markers_count</t>
  </si>
  <si>
    <t>K1</t>
  </si>
  <si>
    <t>K4</t>
  </si>
  <si>
    <t>K5</t>
  </si>
  <si>
    <t>K11</t>
  </si>
  <si>
    <t>K13</t>
  </si>
  <si>
    <t>K14</t>
  </si>
  <si>
    <t>K18</t>
  </si>
  <si>
    <t>K26</t>
  </si>
  <si>
    <t>K32</t>
  </si>
  <si>
    <t>K33</t>
  </si>
  <si>
    <t>K34</t>
  </si>
  <si>
    <t>K35</t>
  </si>
  <si>
    <t>K36</t>
  </si>
  <si>
    <t>K37</t>
  </si>
  <si>
    <t>K38</t>
  </si>
  <si>
    <t>K39</t>
  </si>
  <si>
    <t>K44</t>
  </si>
  <si>
    <t>K45</t>
  </si>
  <si>
    <t>K46</t>
  </si>
  <si>
    <t>K47</t>
  </si>
  <si>
    <t>K48</t>
  </si>
  <si>
    <t>K49</t>
  </si>
  <si>
    <t>K51</t>
  </si>
  <si>
    <t>K55</t>
  </si>
  <si>
    <t>K56</t>
  </si>
  <si>
    <t>K58</t>
  </si>
  <si>
    <t>K65</t>
  </si>
  <si>
    <t>Metric</t>
  </si>
  <si>
    <t>Value</t>
  </si>
  <si>
    <t>Notes</t>
  </si>
  <si>
    <t>AST isolate rows</t>
  </si>
  <si>
    <t>Source supplemental spreadsheet</t>
  </si>
  <si>
    <t>Genomic isolate rows</t>
  </si>
  <si>
    <t>Matched isolates</t>
  </si>
  <si>
    <t>Matched by exact isolate ID after trimming whitespace</t>
  </si>
  <si>
    <t>Antibiotic result columns</t>
  </si>
  <si>
    <t>Categorical result columns; MIC columns excluded</t>
  </si>
  <si>
    <t>Selected marker columns</t>
  </si>
  <si>
    <t>Excluded selected porin/efflux/structural/regulatory loci; manual verification still required</t>
  </si>
  <si>
    <t>Pearson r: selected marker count vs R count</t>
  </si>
  <si>
    <t>Exploratory association</t>
  </si>
  <si>
    <t>Pearson p-value (selected)</t>
  </si>
  <si>
    <t>Exploratory, small sample</t>
  </si>
  <si>
    <t>Spearman rho: selected marker count vs R count</t>
  </si>
  <si>
    <t>Rank correlation</t>
  </si>
  <si>
    <t>Spearman p-value (selected)</t>
  </si>
  <si>
    <t>Pearson r: all recorded markers vs R count</t>
  </si>
  <si>
    <t>Sensitivity comparison, includes non-specific markers</t>
  </si>
  <si>
    <t>Spearman rho: all recorded markers vs R count</t>
  </si>
  <si>
    <t>Included_marker</t>
  </si>
  <si>
    <t>aac(3)-Iia</t>
  </si>
  <si>
    <t>aac(6')-Ib-cr7</t>
  </si>
  <si>
    <t>aac(6')-Ib7</t>
  </si>
  <si>
    <t>aph(3')-Ia</t>
  </si>
  <si>
    <t>aph(3')-VI</t>
  </si>
  <si>
    <t>aph(3'')-Ib</t>
  </si>
  <si>
    <t>aph(6)-Id</t>
  </si>
  <si>
    <t>aadA</t>
  </si>
  <si>
    <t>aadA2</t>
  </si>
  <si>
    <t>crcB</t>
  </si>
  <si>
    <t>armA</t>
  </si>
  <si>
    <t>rmtB</t>
  </si>
  <si>
    <t>rmtF</t>
  </si>
  <si>
    <t>rrsB+</t>
  </si>
  <si>
    <t>blaSHV-16</t>
  </si>
  <si>
    <t>blaCTX-M-15</t>
  </si>
  <si>
    <t>blaCTX-M-2</t>
  </si>
  <si>
    <t>lAP</t>
  </si>
  <si>
    <t>bla LEN-1</t>
  </si>
  <si>
    <t>bla OXA-20</t>
  </si>
  <si>
    <t>bla OXA-24</t>
  </si>
  <si>
    <t>bla OXA-9</t>
  </si>
  <si>
    <t>bla OXA-48</t>
  </si>
  <si>
    <t>bla OXA-42</t>
  </si>
  <si>
    <t>bla OXA-1</t>
  </si>
  <si>
    <t>bla NDM-1</t>
  </si>
  <si>
    <t>bla TEM</t>
  </si>
  <si>
    <t>bla KPC</t>
  </si>
  <si>
    <t>fosA5</t>
  </si>
  <si>
    <t>fosA1</t>
  </si>
  <si>
    <t>qnrB</t>
  </si>
  <si>
    <t>qnrS11</t>
  </si>
  <si>
    <t>oqxA</t>
  </si>
  <si>
    <t>oqxB</t>
  </si>
  <si>
    <t>mphA</t>
  </si>
  <si>
    <t>mphB</t>
  </si>
  <si>
    <t>mphE</t>
  </si>
  <si>
    <t>msrE</t>
  </si>
  <si>
    <t>dfrA-1</t>
  </si>
  <si>
    <t>dfrA12</t>
  </si>
  <si>
    <t>dfrA14</t>
  </si>
  <si>
    <t>sul1</t>
  </si>
  <si>
    <t>sul2</t>
  </si>
  <si>
    <t>sul3</t>
  </si>
  <si>
    <t>tetA</t>
  </si>
  <si>
    <t>tetD</t>
  </si>
  <si>
    <t>catB3</t>
  </si>
  <si>
    <t>catB8</t>
  </si>
  <si>
    <t>catI</t>
  </si>
  <si>
    <t>catII from Escherichia</t>
  </si>
  <si>
    <t>floR+</t>
  </si>
  <si>
    <t>qacE</t>
  </si>
  <si>
    <t>arr-</t>
  </si>
  <si>
    <t>bleMBL</t>
  </si>
  <si>
    <t>Antibiotic_result_column</t>
  </si>
  <si>
    <t>amikacin</t>
  </si>
  <si>
    <t>gentamicin</t>
  </si>
  <si>
    <t>meropenem</t>
  </si>
  <si>
    <t>ertapenem</t>
  </si>
  <si>
    <t>imepenem</t>
  </si>
  <si>
    <t>ceftazidime/avibactam</t>
  </si>
  <si>
    <t>ceftazidime</t>
  </si>
  <si>
    <t>Ceftriaxone</t>
  </si>
  <si>
    <t>cefoperazone/sulbactam</t>
  </si>
  <si>
    <t>cefotaxime</t>
  </si>
  <si>
    <t>Cefepime</t>
  </si>
  <si>
    <t>ampicillin</t>
  </si>
  <si>
    <t>piperacillin/tazobactam</t>
  </si>
  <si>
    <t>ampicillin/sulbactam</t>
  </si>
  <si>
    <t>amoxicllin/clavulanate</t>
  </si>
  <si>
    <t>Ciprofloxacin</t>
  </si>
  <si>
    <t>norfloxacin</t>
  </si>
  <si>
    <t>trimethoprim/sulfamthoxazole</t>
  </si>
  <si>
    <t>doxycyline</t>
  </si>
  <si>
    <t>Azithromycin</t>
  </si>
  <si>
    <t>nitrofurantoin</t>
  </si>
  <si>
    <t>fosfomycin</t>
  </si>
  <si>
    <t>Gene</t>
  </si>
  <si>
    <t>Antibiotic</t>
  </si>
  <si>
    <t>Matched n</t>
  </si>
  <si>
    <t>Gene present &amp; R</t>
  </si>
  <si>
    <t>Gene present &amp; non-R</t>
  </si>
  <si>
    <t>Gene absent &amp; R</t>
  </si>
  <si>
    <t>Gene absent &amp; non-R</t>
  </si>
  <si>
    <t>Fisher OR</t>
  </si>
  <si>
    <t>Fisher p-value</t>
  </si>
  <si>
    <t>BH-adjusted p-value</t>
  </si>
  <si>
    <t>Significant after correction</t>
  </si>
  <si>
    <t>Exploratory only; small n and multiple comparisons</t>
  </si>
  <si>
    <t>inf</t>
  </si>
  <si>
    <t>Check</t>
  </si>
  <si>
    <t>Verified result</t>
  </si>
  <si>
    <t>Verification summary</t>
  </si>
  <si>
    <t>Result</t>
  </si>
  <si>
    <t>AST isolate records</t>
  </si>
  <si>
    <t>Genomic isolate records</t>
  </si>
  <si>
    <t>Marker-count Pearson r</t>
  </si>
  <si>
    <t>0.6935</t>
  </si>
  <si>
    <t>Marker-count Pearson p</t>
  </si>
  <si>
    <t>0.000061</t>
  </si>
  <si>
    <t>Marker-count Spearman rho</t>
  </si>
  <si>
    <t>0.5639</t>
  </si>
  <si>
    <t>Marker-count Spearman p</t>
  </si>
  <si>
    <t>0.00219</t>
  </si>
  <si>
    <t>Number of exploratory gene-drug tests</t>
  </si>
  <si>
    <t>Smallest raw Fisher p</t>
  </si>
  <si>
    <t>0.01275</t>
  </si>
  <si>
    <t>Smallest Benjamini-Hochberg adjusted p</t>
  </si>
  <si>
    <t>0.13391</t>
  </si>
  <si>
    <t>Gene-drug tests significant after correction</t>
  </si>
  <si>
    <t>The marker count is a crude exploratory measure; do not claim causation or novelty.</t>
  </si>
  <si>
    <t>SOURCE AUDIT — K. pneumoniae secondary analysis</t>
  </si>
  <si>
    <t>Verified outcome / explanation</t>
  </si>
  <si>
    <t>Primary publication</t>
  </si>
  <si>
    <t>Gamaleldin et al. (2024), BMC Genomics 25:983, DOI 10.1186/s12864-024-10661-z</t>
  </si>
  <si>
    <t>Publisher article URL</t>
  </si>
  <si>
    <t>https://link.springer.com/article/10.1186/s12864-024-10661-z</t>
  </si>
  <si>
    <t>Genome sequence repository</t>
  </si>
  <si>
    <t>NCBI BioProject PRJNA1071125</t>
  </si>
  <si>
    <t>Publisher supplement 2 file</t>
  </si>
  <si>
    <t>12864_2024_10661_MOESM2_ESM(1).xlsx — 56 AST records; 19 from 2019 and 37 from 2021</t>
  </si>
  <si>
    <t>Publisher supplement 3 file</t>
  </si>
  <si>
    <t>12864_2024_10661_MOESM3_ESM(1).xlsx — 27 genomic records; 7 from 2019 and 20 from 2021</t>
  </si>
  <si>
    <t>Publisher supplement 4 file</t>
  </si>
  <si>
    <t>12864_2024_10661_MOESM4_ESM(1).xlsx — mutation summaries and MIC/group summaries</t>
  </si>
  <si>
    <t>Matched genomic isolates</t>
  </si>
  <si>
    <t>27</t>
  </si>
  <si>
    <t>Genome IDs absent from AST file</t>
  </si>
  <si>
    <t>AST-only isolates not sequenced</t>
  </si>
  <si>
    <t>Sample-level discrepancies vs team workbook</t>
  </si>
  <si>
    <t>Status-count validation</t>
  </si>
  <si>
    <t>Every matched sample's R, I and SDD counts match the team workbook after recalculation from the publisher AST sheet.</t>
  </si>
  <si>
    <t>Marker-count validation</t>
  </si>
  <si>
    <t>Every matched sample's 72 binary yes/no marker count matches the team workbook. The ESBL column is POS/NEG phenotype metadata and is not one of the 72 binary marker fields.</t>
  </si>
  <si>
    <t>Selected subset validation</t>
  </si>
  <si>
    <t>All 54 selected marker counts in the team workbook match the publisher genomic matrix; however, the 54-marker selection remains provisional and should not be the primary result unless inclusion is scientifically justified.</t>
  </si>
  <si>
    <t>Primary association — Pearson</t>
  </si>
  <si>
    <t>n=27; r=0.6935; p=6.056231e-05</t>
  </si>
  <si>
    <t>Primary association — Spearman</t>
  </si>
  <si>
    <t>n=27; rho=0.5639; p=0.00218625</t>
  </si>
  <si>
    <t>Selected 54 sensitivity — Pearson</t>
  </si>
  <si>
    <t>n=27; r=0.6916; p=6.451636e-05</t>
  </si>
  <si>
    <t>Selected 54 sensitivity — Spearman</t>
  </si>
  <si>
    <t>n=27; rho=0.5446; p=0.00331114</t>
  </si>
  <si>
    <t>Exploratory gene-drug tests</t>
  </si>
  <si>
    <t>21 two-sided Fisher exact tests regenerated from raw supplementary data.</t>
  </si>
  <si>
    <t>Multiplicity correction</t>
  </si>
  <si>
    <t>Benjamini–Hochberg applied to all 21 p-values; smallest adjusted p=0.13391; significant after correction: 0.</t>
  </si>
  <si>
    <t>Exploratory association only; small n, unadjusted correlations, no adjustment for year/sequence type, crude equal-weight marker count; no causal or clinical prediction claim.</t>
  </si>
  <si>
    <t>Important scope note</t>
  </si>
  <si>
    <t>Original article already evaluates genomic features and resistance phenotype; present work must be framed as a transparent re-analysis using its own operational definition, not a first discovery of genotype–phenotype association.</t>
  </si>
  <si>
    <t>Raw sheet note</t>
  </si>
  <si>
    <t>Publisher raw-source mirrors are included below. Source AST and genomic sheets keep the publisher's original data layout; analysis-ready matching sheet rearranges status/marker fields for transparent recalculation.</t>
  </si>
  <si>
    <t>Analysis data definition</t>
  </si>
  <si>
    <t>R-count counts categorical AST values exactly R across the 22 result fields; I and SDD are counted separately. 72-marker count is the number of gene/marker fields coded yes, excluding ESBL POS/NEG phenotype field.</t>
  </si>
  <si>
    <t>Sample Type</t>
  </si>
  <si>
    <t>Age</t>
  </si>
  <si>
    <t>Gender</t>
  </si>
  <si>
    <t>Date</t>
  </si>
  <si>
    <t>Result R≥64, I=32,  S≤16</t>
  </si>
  <si>
    <t>Result R≥16, I=8,  S≤4</t>
  </si>
  <si>
    <t>Result R≥4, I=2,  S≤1</t>
  </si>
  <si>
    <t>Result R≥2, I=1,  S≤0.5</t>
  </si>
  <si>
    <t>Result R≥16/4, S≤8/4</t>
  </si>
  <si>
    <t>Result R≥64, I=32, S≤16</t>
  </si>
  <si>
    <t>Result R≥4, I=2, S≤1</t>
  </si>
  <si>
    <t>Result R ≥16, SDD=4-8, S≤2</t>
  </si>
  <si>
    <t>Result R≥32, I=16, S≤8</t>
  </si>
  <si>
    <t>Result  R≥32/4, SDD=16/4, S≤8/4 (CLSI 2021)</t>
  </si>
  <si>
    <t>Result R ≥ 32/16, I=16/8, S≤8/4</t>
  </si>
  <si>
    <t>Result R≥1, I=0.5,  S≤0.25</t>
  </si>
  <si>
    <t>Result R≥80(76/4) , S≤40(38/2)</t>
  </si>
  <si>
    <t>R≥32, S≤16</t>
  </si>
  <si>
    <t>R≥128, I=64,  S≤32</t>
  </si>
  <si>
    <t>R≥256, I=128,  S≤64</t>
  </si>
  <si>
    <t>BAL</t>
  </si>
  <si>
    <t>67 yrs</t>
  </si>
  <si>
    <t>male</t>
  </si>
  <si>
    <t>sep-2019</t>
  </si>
  <si>
    <t>S</t>
  </si>
  <si>
    <t>≤2</t>
  </si>
  <si>
    <t>≤0.25</t>
  </si>
  <si>
    <t>≤0.5</t>
  </si>
  <si>
    <t>0.19/4</t>
  </si>
  <si>
    <t>R</t>
  </si>
  <si>
    <t>≥ 32,768</t>
  </si>
  <si>
    <t>≥64</t>
  </si>
  <si>
    <t>8/4</t>
  </si>
  <si>
    <t>1024/512</t>
  </si>
  <si>
    <t>4/2</t>
  </si>
  <si>
    <t>≥ 320 (304/16)</t>
  </si>
  <si>
    <t>I</t>
  </si>
  <si>
    <t>K2</t>
  </si>
  <si>
    <t>43 yrs</t>
  </si>
  <si>
    <t>≥16</t>
  </si>
  <si>
    <t>≥256/4</t>
  </si>
  <si>
    <t>≥ 32</t>
  </si>
  <si>
    <t>≥ 128/4</t>
  </si>
  <si>
    <t>512/256</t>
  </si>
  <si>
    <t>≥ 32/16</t>
  </si>
  <si>
    <t>K3</t>
  </si>
  <si>
    <t>75 yrs</t>
  </si>
  <si>
    <t>female</t>
  </si>
  <si>
    <t>≥ 64</t>
  </si>
  <si>
    <t>≥ 16</t>
  </si>
  <si>
    <t>SDD</t>
  </si>
  <si>
    <t>≤1</t>
  </si>
  <si>
    <t>44 yrs</t>
  </si>
  <si>
    <t>oct-2019</t>
  </si>
  <si>
    <t>≥ 4</t>
  </si>
  <si>
    <t>PUS</t>
  </si>
  <si>
    <t>85 yrs</t>
  </si>
  <si>
    <t>1/4</t>
  </si>
  <si>
    <t>40 (38/2)</t>
  </si>
  <si>
    <t>≤16</t>
  </si>
  <si>
    <t>≥ 512</t>
  </si>
  <si>
    <t>K6</t>
  </si>
  <si>
    <t>30 yrs</t>
  </si>
  <si>
    <t>≥32,768</t>
  </si>
  <si>
    <t>≥4096</t>
  </si>
  <si>
    <t>K7</t>
  </si>
  <si>
    <t>60 yrs</t>
  </si>
  <si>
    <t>≥ 8</t>
  </si>
  <si>
    <t>2/4</t>
  </si>
  <si>
    <t>K8</t>
  </si>
  <si>
    <t>40 yrs</t>
  </si>
  <si>
    <t>1.5/4</t>
  </si>
  <si>
    <t>≥ 256</t>
  </si>
  <si>
    <t>K9</t>
  </si>
  <si>
    <t>URINE</t>
  </si>
  <si>
    <t>45 yrs</t>
  </si>
  <si>
    <t>≥256 /4</t>
  </si>
  <si>
    <t>2048/1024</t>
  </si>
  <si>
    <t>K10</t>
  </si>
  <si>
    <t>47 yrs</t>
  </si>
  <si>
    <t>nov-2019</t>
  </si>
  <si>
    <t>1.5 / 4</t>
  </si>
  <si>
    <t>≥512</t>
  </si>
  <si>
    <t>80 yrs</t>
  </si>
  <si>
    <t>K12</t>
  </si>
  <si>
    <t>53 yrs</t>
  </si>
  <si>
    <t>≥ 16,384</t>
  </si>
  <si>
    <t>K15</t>
  </si>
  <si>
    <t>57 yrs</t>
  </si>
  <si>
    <t>dec-2019</t>
  </si>
  <si>
    <t>K16</t>
  </si>
  <si>
    <t>35 yrs</t>
  </si>
  <si>
    <t>21 yrs</t>
  </si>
  <si>
    <t>0.38/4</t>
  </si>
  <si>
    <t>≤4 /4</t>
  </si>
  <si>
    <t>≤4/2</t>
  </si>
  <si>
    <t>≤2 /1</t>
  </si>
  <si>
    <t>≤20 (19/1)</t>
  </si>
  <si>
    <t>K21</t>
  </si>
  <si>
    <t>BLOOD</t>
  </si>
  <si>
    <t>K22</t>
  </si>
  <si>
    <t>41 yrs</t>
  </si>
  <si>
    <t>K23</t>
  </si>
  <si>
    <t>70 yrs</t>
  </si>
  <si>
    <t>JAN-2021</t>
  </si>
  <si>
    <t>K24</t>
  </si>
  <si>
    <t>24 yrs</t>
  </si>
  <si>
    <t>K25</t>
  </si>
  <si>
    <t>51 yrs</t>
  </si>
  <si>
    <t>72 yrs</t>
  </si>
  <si>
    <t>K28</t>
  </si>
  <si>
    <t>K29</t>
  </si>
  <si>
    <t>≤4/4</t>
  </si>
  <si>
    <t>K30</t>
  </si>
  <si>
    <t>73 yrs</t>
  </si>
  <si>
    <t>K31</t>
  </si>
  <si>
    <t>50 yrs</t>
  </si>
  <si>
    <t>87 yrs</t>
  </si>
  <si>
    <t>25 yrs</t>
  </si>
  <si>
    <t>FEB-2021</t>
  </si>
  <si>
    <t>46 yrs</t>
  </si>
  <si>
    <t>64 yrs</t>
  </si>
  <si>
    <t>55 yrs</t>
  </si>
  <si>
    <t>≥ 8192/4096</t>
  </si>
  <si>
    <t>22 yrs</t>
  </si>
  <si>
    <t>1.5 /4</t>
  </si>
  <si>
    <t>K40</t>
  </si>
  <si>
    <t>CSF</t>
  </si>
  <si>
    <t>63 yrs</t>
  </si>
  <si>
    <t>K41</t>
  </si>
  <si>
    <t>4/4</t>
  </si>
  <si>
    <t>K42</t>
  </si>
  <si>
    <t>16/8</t>
  </si>
  <si>
    <t>K43</t>
  </si>
  <si>
    <t>mar-2021</t>
  </si>
  <si>
    <t>blood</t>
  </si>
  <si>
    <t>56 yrs</t>
  </si>
  <si>
    <t>0.75/4</t>
  </si>
  <si>
    <t>16/4</t>
  </si>
  <si>
    <t>66 yrs</t>
  </si>
  <si>
    <t>32/4</t>
  </si>
  <si>
    <t>65 yrs</t>
  </si>
  <si>
    <t>≥16,384</t>
  </si>
  <si>
    <t>K50</t>
  </si>
  <si>
    <t>52 yrs</t>
  </si>
  <si>
    <t>26 yrs</t>
  </si>
  <si>
    <t>80 (76/4)</t>
  </si>
  <si>
    <t>K52</t>
  </si>
  <si>
    <t>54 yrs</t>
  </si>
  <si>
    <t>K53</t>
  </si>
  <si>
    <t>bal</t>
  </si>
  <si>
    <t>38 yrs</t>
  </si>
  <si>
    <t>K54</t>
  </si>
  <si>
    <t>12 yrs</t>
  </si>
  <si>
    <t>4096/2048</t>
  </si>
  <si>
    <t>apr-2021</t>
  </si>
  <si>
    <t>urine</t>
  </si>
  <si>
    <t>K57</t>
  </si>
  <si>
    <t>3/4</t>
  </si>
  <si>
    <t>K59</t>
  </si>
  <si>
    <t>55yrs</t>
  </si>
  <si>
    <t>AmInoGLYCOSIDES RESISTANCE GENES</t>
  </si>
  <si>
    <t>VITEK result</t>
  </si>
  <si>
    <t>β-LACTAMS RESISTANCE GENES</t>
  </si>
  <si>
    <t>Fosfomycin</t>
  </si>
  <si>
    <t>flouroquinolone resistance genes</t>
  </si>
  <si>
    <t>macrolide resistance genes</t>
  </si>
  <si>
    <t>trimethoprim resistance genes</t>
  </si>
  <si>
    <t>Sulfonamide resistance genes</t>
  </si>
  <si>
    <t>Tetracycline resistance genes</t>
  </si>
  <si>
    <t>Multidrug resistance</t>
  </si>
  <si>
    <t>polymyxin</t>
  </si>
  <si>
    <t>chloramphenicol</t>
  </si>
  <si>
    <t>antiseptics</t>
  </si>
  <si>
    <t>rifamycin</t>
  </si>
  <si>
    <t>bleomycin</t>
  </si>
  <si>
    <t>name</t>
  </si>
  <si>
    <t>Sequence Type</t>
  </si>
  <si>
    <t>ESBL</t>
  </si>
  <si>
    <t>ompA</t>
  </si>
  <si>
    <t>Klebsiella pneumoniae ompK35</t>
  </si>
  <si>
    <t>Klebsiella pneumoniae ompK36</t>
  </si>
  <si>
    <t>Klebsiella pneumoniae ompK37</t>
  </si>
  <si>
    <t>porin ompC</t>
  </si>
  <si>
    <t>lptD (carbapenems only )</t>
  </si>
  <si>
    <t>acrR</t>
  </si>
  <si>
    <t>Klebsiella pneumoniae kpnE</t>
  </si>
  <si>
    <t>Klebsiella pneumoniae kpnF</t>
  </si>
  <si>
    <t>Klebsiella pneumoniae kpnG</t>
  </si>
  <si>
    <t>Klebsiella pneumoniae kpnH+</t>
  </si>
  <si>
    <t>adeK</t>
  </si>
  <si>
    <t>ramR 1</t>
  </si>
  <si>
    <t>adeG</t>
  </si>
  <si>
    <t>Escherichia coli 23S</t>
  </si>
  <si>
    <t>acrA</t>
  </si>
  <si>
    <t>eptB</t>
  </si>
  <si>
    <t>arnT</t>
  </si>
  <si>
    <t>no</t>
  </si>
  <si>
    <t>yes</t>
  </si>
  <si>
    <t>POS+</t>
  </si>
  <si>
    <t>NEG -</t>
  </si>
  <si>
    <t>NEG-</t>
  </si>
  <si>
    <t>POS +</t>
  </si>
  <si>
    <t>ompK36</t>
  </si>
  <si>
    <t>ompK37</t>
  </si>
  <si>
    <t>Mutation</t>
  </si>
  <si>
    <t>Nucleotide  change</t>
  </si>
  <si>
    <t>Amino acid change</t>
  </si>
  <si>
    <t>Resistance</t>
  </si>
  <si>
    <t>K1,K13,K48</t>
  </si>
  <si>
    <t>ompK36 p.N49S</t>
  </si>
  <si>
    <t>AAC -&gt; AGC</t>
  </si>
  <si>
    <t>N -&gt; S</t>
  </si>
  <si>
    <t>Cephalosporins</t>
  </si>
  <si>
    <t>ompK37 p.I70M</t>
  </si>
  <si>
    <t>ATT -&gt; ATG</t>
  </si>
  <si>
    <t>I -&gt; M</t>
  </si>
  <si>
    <t>Carbapenem</t>
  </si>
  <si>
    <t>acrR p.P161R</t>
  </si>
  <si>
    <t>CCG -&gt; CGG</t>
  </si>
  <si>
    <t>P -&gt; R</t>
  </si>
  <si>
    <t>Fluoroquinolone</t>
  </si>
  <si>
    <t>ompK36 p.L59V</t>
  </si>
  <si>
    <t>CTT -&gt; GTA</t>
  </si>
  <si>
    <t>L -&gt; V</t>
  </si>
  <si>
    <t>ompK37 p.I128M</t>
  </si>
  <si>
    <t>acrR p.G164A</t>
  </si>
  <si>
    <t>GGC -&gt; GCC</t>
  </si>
  <si>
    <t>G -&gt; A</t>
  </si>
  <si>
    <t>ompK36 p.G189T</t>
  </si>
  <si>
    <t>GGC -&gt; ACC</t>
  </si>
  <si>
    <t>G -&gt; T</t>
  </si>
  <si>
    <t>ompK37 p.N230G</t>
  </si>
  <si>
    <t>AAC -&gt; GGC</t>
  </si>
  <si>
    <t>N -&gt; G</t>
  </si>
  <si>
    <t>acrR p.F172S</t>
  </si>
  <si>
    <t>TTC -&gt; TCC</t>
  </si>
  <si>
    <t>F -&gt; S</t>
  </si>
  <si>
    <t>ompK36 p.F198Y</t>
  </si>
  <si>
    <t>TTC -&gt; TAC</t>
  </si>
  <si>
    <t>F -&gt; Y</t>
  </si>
  <si>
    <t>acrR p.R173G</t>
  </si>
  <si>
    <t>CGA -&gt; GGG</t>
  </si>
  <si>
    <t>R -&gt; G</t>
  </si>
  <si>
    <t>ompK36 p.F207Y</t>
  </si>
  <si>
    <t>TTC -&gt; TAT</t>
  </si>
  <si>
    <t>acrR p.L195V</t>
  </si>
  <si>
    <t>CTC -&gt; GTC</t>
  </si>
  <si>
    <t>ompK36 p.A217S</t>
  </si>
  <si>
    <t>GCT -&gt; TCT</t>
  </si>
  <si>
    <t>A -&gt; S</t>
  </si>
  <si>
    <t>acrR p.F197I</t>
  </si>
  <si>
    <t>TTT -&gt; ATT</t>
  </si>
  <si>
    <t>F -&gt; I</t>
  </si>
  <si>
    <t>ompK36 p.T222L</t>
  </si>
  <si>
    <t>ACC -&gt; CTT</t>
  </si>
  <si>
    <t>T -&gt; L</t>
  </si>
  <si>
    <t>acrR p.K201M</t>
  </si>
  <si>
    <t>AAG -&gt; ATG</t>
  </si>
  <si>
    <t>K -&gt; M</t>
  </si>
  <si>
    <t>ompK36 p.D223G</t>
  </si>
  <si>
    <t>GAC -&gt; GGC</t>
  </si>
  <si>
    <t>D -&gt; G</t>
  </si>
  <si>
    <t>ompK36 p.E232R</t>
  </si>
  <si>
    <t>GAA -&gt; CGT</t>
  </si>
  <si>
    <t>E -&gt; R</t>
  </si>
  <si>
    <t>ompK36 p.N304E</t>
  </si>
  <si>
    <t>AAC -&gt; GAA</t>
  </si>
  <si>
    <t>N -&gt; E</t>
  </si>
  <si>
    <t>K4,K18,K32,K33,K36,K38,K46</t>
  </si>
  <si>
    <t>ompK36 p.T184P</t>
  </si>
  <si>
    <t>ACC -&gt; CCA</t>
  </si>
  <si>
    <t>T -&gt; P</t>
  </si>
  <si>
    <t>K5,K14,K51,K55</t>
  </si>
  <si>
    <t>ompK36 p.L191S</t>
  </si>
  <si>
    <t>CTG -&gt; AGC</t>
  </si>
  <si>
    <t>L -&gt; S</t>
  </si>
  <si>
    <t>ompK36 p.F207W</t>
  </si>
  <si>
    <t>TTC -&gt; TGG</t>
  </si>
  <si>
    <t>F -&gt; W</t>
  </si>
  <si>
    <t>ompK36 p.N218H</t>
  </si>
  <si>
    <t>AAC -&gt; CAC</t>
  </si>
  <si>
    <t>N -&gt; H</t>
  </si>
  <si>
    <t>ompK36 p.D224E</t>
  </si>
  <si>
    <t>GAT -&gt; GAG</t>
  </si>
  <si>
    <t>D -&gt; E</t>
  </si>
  <si>
    <t>ompK36 p.L228V</t>
  </si>
  <si>
    <t>CTG -&gt; GTT</t>
  </si>
  <si>
    <t>ompK36 p.T254S</t>
  </si>
  <si>
    <t>ACT -&gt; TCT</t>
  </si>
  <si>
    <t>T -&gt; S</t>
  </si>
  <si>
    <t>K26,K49</t>
  </si>
  <si>
    <t>K37,K39,K56</t>
  </si>
  <si>
    <t>K34,K35,K44,K45,K47,K58</t>
  </si>
  <si>
    <t>ompK36 p.T86V</t>
  </si>
  <si>
    <t>ACT -&gt; GTT</t>
  </si>
  <si>
    <t>T -&gt; V</t>
  </si>
  <si>
    <t>ompK36 p.S89T</t>
  </si>
  <si>
    <t>TCC -&gt; ACT</t>
  </si>
  <si>
    <t>S -&gt; T</t>
  </si>
  <si>
    <t>ompK36 p.D91K</t>
  </si>
  <si>
    <t>GAT -&gt; AAG</t>
  </si>
  <si>
    <t>D -&gt; K</t>
  </si>
  <si>
    <t>ompK36 p.A93S</t>
  </si>
  <si>
    <t>GCA -&gt; TCC</t>
  </si>
  <si>
    <t>ompK36 p.L191Q</t>
  </si>
  <si>
    <t>CTG -&gt; CAG</t>
  </si>
  <si>
    <t>L -&gt; Q</t>
  </si>
  <si>
    <t>GCT -&gt; TCC</t>
  </si>
  <si>
    <t>ompK36 p.Q227N</t>
  </si>
  <si>
    <t>CAG -&gt; AAC</t>
  </si>
  <si>
    <t>Q -&gt; N</t>
  </si>
  <si>
    <t>ompK36 p.L229V</t>
  </si>
  <si>
    <t>CTG -&gt; GTA</t>
  </si>
  <si>
    <t>ompK36 p.H235D</t>
  </si>
  <si>
    <t>CAC -&gt; GAC</t>
  </si>
  <si>
    <t>H -&gt; D</t>
  </si>
  <si>
    <t>cephalosporins</t>
  </si>
  <si>
    <t>GROUP NO.</t>
  </si>
  <si>
    <t>MERONEM</t>
  </si>
  <si>
    <t>IMIPENEM</t>
  </si>
  <si>
    <t>MIC 50</t>
  </si>
  <si>
    <t>MIC 90</t>
  </si>
  <si>
    <t>Sample_ID</t>
  </si>
  <si>
    <t>Cohort_year</t>
  </si>
  <si>
    <t>Sequence_type</t>
  </si>
  <si>
    <t>ESBL_phenotype_field</t>
  </si>
  <si>
    <t>Team_R_count</t>
  </si>
  <si>
    <t>Source_R_count_formula</t>
  </si>
  <si>
    <t>Team_I_count</t>
  </si>
  <si>
    <t>Source_I_count_formula</t>
  </si>
  <si>
    <t>Team_SDD_count</t>
  </si>
  <si>
    <t>Source_SDD_count_formula</t>
  </si>
  <si>
    <t>Team_72_marker_count</t>
  </si>
  <si>
    <t>Source_72_marker_count_formula</t>
  </si>
  <si>
    <t>Team_selected54_count</t>
  </si>
  <si>
    <t>Source_selected54_count_formula</t>
  </si>
  <si>
    <t>Status / limitation</t>
  </si>
  <si>
    <t>All 72 binary genetic markers vs R-count</t>
  </si>
  <si>
    <t>Reproduced from source supplements; exploratory, unadjusted.</t>
  </si>
  <si>
    <t>Selected 54-marker sensitivity analysis</t>
  </si>
  <si>
    <t>Subset is provisional; use as sensitivity analysis only.</t>
  </si>
  <si>
    <t>Cohort balance</t>
  </si>
  <si>
    <t>2019</t>
  </si>
  <si>
    <t>isolates</t>
  </si>
  <si>
    <t>Only seven 2019 genomes; year may confound association.</t>
  </si>
  <si>
    <t>2021</t>
  </si>
  <si>
    <t>Twenty 2021 genomes; collection period is unevenly represented.</t>
  </si>
  <si>
    <t>Marker counts</t>
  </si>
  <si>
    <t>72 markers</t>
  </si>
  <si>
    <t>Minimum and maximum count across the 27 matched isolates.</t>
  </si>
  <si>
    <t>R counts</t>
  </si>
  <si>
    <t>22 AST result fields</t>
  </si>
  <si>
    <t>Count exact R entries; I and SDD are not counted as R.</t>
  </si>
  <si>
    <t>Gene field (source label)</t>
  </si>
  <si>
    <t>AST drug label (source spelling)</t>
  </si>
  <si>
    <t>n matched</t>
  </si>
  <si>
    <t>Fisher odds ratio</t>
  </si>
  <si>
    <t>Two-sided Fisher p</t>
  </si>
  <si>
    <t>BH-adjusted p</t>
  </si>
  <si>
    <t>Significant after BH (&lt;0.05)</t>
  </si>
  <si>
    <t>∞</t>
  </si>
  <si>
    <t>Not estimable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</si>
</sst>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4" x14ac:knownFonts="1">
    <font>
      <sz val="11"/>
      <color theme="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17365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c49140ba3b43410b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>
      <selection activeCell="C7" sqref="C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27</v>
      </c>
      <c r="C2" t="s">
        <v>6</v>
      </c>
      <c r="D2">
        <v>6.0562305079873121E-5</v>
      </c>
      <c r="E2" t="s">
        <v>7</v>
      </c>
    </row>
    <row r="3" spans="1:5" x14ac:dyDescent="0.3">
      <c r="A3" t="s">
        <v>5</v>
      </c>
      <c r="B3">
        <v>27</v>
      </c>
      <c r="C3" t="s">
        <v>8</v>
      </c>
      <c r="D3">
        <v>2.1862477587992601E-3</v>
      </c>
      <c r="E3" t="s">
        <v>9</v>
      </c>
    </row>
    <row r="4" spans="1:5" x14ac:dyDescent="0.3">
      <c r="A4" t="s">
        <v>10</v>
      </c>
      <c r="B4">
        <v>27</v>
      </c>
      <c r="C4" t="s">
        <v>11</v>
      </c>
      <c r="D4">
        <v>6.4516360302519743E-5</v>
      </c>
      <c r="E4" t="s">
        <v>12</v>
      </c>
    </row>
    <row r="5" spans="1:5" x14ac:dyDescent="0.3">
      <c r="A5" t="s">
        <v>10</v>
      </c>
      <c r="B5">
        <v>27</v>
      </c>
      <c r="C5" t="s">
        <v>13</v>
      </c>
      <c r="D5">
        <v>3.311135279350268E-3</v>
      </c>
      <c r="E5" t="s">
        <v>12</v>
      </c>
    </row>
    <row r="6" spans="1:5" x14ac:dyDescent="0.3">
      <c r="A6" t="s">
        <v>14</v>
      </c>
      <c r="B6">
        <v>27</v>
      </c>
      <c r="C6" t="s">
        <v>15</v>
      </c>
      <c r="D6">
        <v>1.275362318840579E-2</v>
      </c>
      <c r="E6" t="s">
        <v>16</v>
      </c>
    </row>
    <row r="7" spans="1:5" x14ac:dyDescent="0.3">
      <c r="A7" t="s">
        <v>17</v>
      </c>
      <c r="B7">
        <v>27</v>
      </c>
      <c r="C7" t="s">
        <v>18</v>
      </c>
      <c r="D7">
        <v>4.2735042735042743E-2</v>
      </c>
      <c r="E7" t="s">
        <v>16</v>
      </c>
    </row>
    <row r="8" spans="1:5" x14ac:dyDescent="0.3">
      <c r="A8" t="s">
        <v>19</v>
      </c>
      <c r="B8" t="s">
        <v>20</v>
      </c>
      <c r="C8" t="s">
        <v>20</v>
      </c>
      <c r="D8" t="s">
        <v>20</v>
      </c>
      <c r="E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/>
  </sheetViews>
  <sheetFormatPr defaultRowHeight="14.4" x14ac:dyDescent="0.3"/>
  <sheetData>
    <row r="1" spans="1: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3">
      <c r="A2" t="s">
        <v>28</v>
      </c>
      <c r="B2">
        <v>9</v>
      </c>
      <c r="C2">
        <v>1</v>
      </c>
      <c r="D2">
        <v>0</v>
      </c>
      <c r="E2">
        <v>16</v>
      </c>
      <c r="F2">
        <v>29</v>
      </c>
    </row>
    <row r="3" spans="1:6" x14ac:dyDescent="0.3">
      <c r="A3" t="s">
        <v>29</v>
      </c>
      <c r="B3">
        <v>21</v>
      </c>
      <c r="C3">
        <v>0</v>
      </c>
      <c r="D3">
        <v>0</v>
      </c>
      <c r="E3">
        <v>20</v>
      </c>
      <c r="F3">
        <v>33</v>
      </c>
    </row>
    <row r="4" spans="1:6" x14ac:dyDescent="0.3">
      <c r="A4" t="s">
        <v>30</v>
      </c>
      <c r="B4">
        <v>14</v>
      </c>
      <c r="C4">
        <v>0</v>
      </c>
      <c r="D4">
        <v>0</v>
      </c>
      <c r="E4">
        <v>11</v>
      </c>
      <c r="F4">
        <v>24</v>
      </c>
    </row>
    <row r="5" spans="1:6" x14ac:dyDescent="0.3">
      <c r="A5" t="s">
        <v>31</v>
      </c>
      <c r="B5">
        <v>17</v>
      </c>
      <c r="C5">
        <v>1</v>
      </c>
      <c r="D5">
        <v>1</v>
      </c>
      <c r="E5">
        <v>22</v>
      </c>
      <c r="F5">
        <v>36</v>
      </c>
    </row>
    <row r="6" spans="1:6" x14ac:dyDescent="0.3">
      <c r="A6" t="s">
        <v>32</v>
      </c>
      <c r="B6">
        <v>21</v>
      </c>
      <c r="C6">
        <v>0</v>
      </c>
      <c r="D6">
        <v>0</v>
      </c>
      <c r="E6">
        <v>25</v>
      </c>
      <c r="F6">
        <v>38</v>
      </c>
    </row>
    <row r="7" spans="1:6" x14ac:dyDescent="0.3">
      <c r="A7" t="s">
        <v>33</v>
      </c>
      <c r="B7">
        <v>16</v>
      </c>
      <c r="C7">
        <v>0</v>
      </c>
      <c r="D7">
        <v>0</v>
      </c>
      <c r="E7">
        <v>15</v>
      </c>
      <c r="F7">
        <v>28</v>
      </c>
    </row>
    <row r="8" spans="1:6" x14ac:dyDescent="0.3">
      <c r="A8" t="s">
        <v>34</v>
      </c>
      <c r="B8">
        <v>4</v>
      </c>
      <c r="C8">
        <v>1</v>
      </c>
      <c r="D8">
        <v>0</v>
      </c>
      <c r="E8">
        <v>6</v>
      </c>
      <c r="F8">
        <v>19</v>
      </c>
    </row>
    <row r="9" spans="1:6" x14ac:dyDescent="0.3">
      <c r="A9" t="s">
        <v>35</v>
      </c>
      <c r="B9">
        <v>21</v>
      </c>
      <c r="C9">
        <v>0</v>
      </c>
      <c r="D9">
        <v>0</v>
      </c>
      <c r="E9">
        <v>27</v>
      </c>
      <c r="F9">
        <v>42</v>
      </c>
    </row>
    <row r="10" spans="1:6" x14ac:dyDescent="0.3">
      <c r="A10" t="s">
        <v>36</v>
      </c>
      <c r="B10">
        <v>18</v>
      </c>
      <c r="C10">
        <v>3</v>
      </c>
      <c r="D10">
        <v>0</v>
      </c>
      <c r="E10">
        <v>30</v>
      </c>
      <c r="F10">
        <v>43</v>
      </c>
    </row>
    <row r="11" spans="1:6" x14ac:dyDescent="0.3">
      <c r="A11" t="s">
        <v>37</v>
      </c>
      <c r="B11">
        <v>19</v>
      </c>
      <c r="C11">
        <v>2</v>
      </c>
      <c r="D11">
        <v>0</v>
      </c>
      <c r="E11">
        <v>28</v>
      </c>
      <c r="F11">
        <v>41</v>
      </c>
    </row>
    <row r="12" spans="1:6" x14ac:dyDescent="0.3">
      <c r="A12" t="s">
        <v>38</v>
      </c>
      <c r="B12">
        <v>17</v>
      </c>
      <c r="C12">
        <v>4</v>
      </c>
      <c r="D12">
        <v>0</v>
      </c>
      <c r="E12">
        <v>28</v>
      </c>
      <c r="F12">
        <v>40</v>
      </c>
    </row>
    <row r="13" spans="1:6" x14ac:dyDescent="0.3">
      <c r="A13" t="s">
        <v>39</v>
      </c>
      <c r="B13">
        <v>18</v>
      </c>
      <c r="C13">
        <v>1</v>
      </c>
      <c r="D13">
        <v>0</v>
      </c>
      <c r="E13">
        <v>19</v>
      </c>
      <c r="F13">
        <v>32</v>
      </c>
    </row>
    <row r="14" spans="1:6" x14ac:dyDescent="0.3">
      <c r="A14" t="s">
        <v>40</v>
      </c>
      <c r="B14">
        <v>21</v>
      </c>
      <c r="C14">
        <v>0</v>
      </c>
      <c r="D14">
        <v>0</v>
      </c>
      <c r="E14">
        <v>25</v>
      </c>
      <c r="F14">
        <v>37</v>
      </c>
    </row>
    <row r="15" spans="1:6" x14ac:dyDescent="0.3">
      <c r="A15" t="s">
        <v>41</v>
      </c>
      <c r="B15">
        <v>18</v>
      </c>
      <c r="C15">
        <v>0</v>
      </c>
      <c r="D15">
        <v>0</v>
      </c>
      <c r="E15">
        <v>22</v>
      </c>
      <c r="F15">
        <v>35</v>
      </c>
    </row>
    <row r="16" spans="1:6" x14ac:dyDescent="0.3">
      <c r="A16" t="s">
        <v>42</v>
      </c>
      <c r="B16">
        <v>15</v>
      </c>
      <c r="C16">
        <v>0</v>
      </c>
      <c r="D16">
        <v>0</v>
      </c>
      <c r="E16">
        <v>28</v>
      </c>
      <c r="F16">
        <v>41</v>
      </c>
    </row>
    <row r="17" spans="1:6" x14ac:dyDescent="0.3">
      <c r="A17" t="s">
        <v>43</v>
      </c>
      <c r="B17">
        <v>16</v>
      </c>
      <c r="C17">
        <v>1</v>
      </c>
      <c r="D17">
        <v>0</v>
      </c>
      <c r="E17">
        <v>20</v>
      </c>
      <c r="F17">
        <v>33</v>
      </c>
    </row>
    <row r="18" spans="1:6" x14ac:dyDescent="0.3">
      <c r="A18" t="s">
        <v>44</v>
      </c>
      <c r="B18">
        <v>20</v>
      </c>
      <c r="C18">
        <v>1</v>
      </c>
      <c r="D18">
        <v>0</v>
      </c>
      <c r="E18">
        <v>23</v>
      </c>
      <c r="F18">
        <v>36</v>
      </c>
    </row>
    <row r="19" spans="1:6" x14ac:dyDescent="0.3">
      <c r="A19" t="s">
        <v>45</v>
      </c>
      <c r="B19">
        <v>17</v>
      </c>
      <c r="C19">
        <v>3</v>
      </c>
      <c r="D19">
        <v>0</v>
      </c>
      <c r="E19">
        <v>14</v>
      </c>
      <c r="F19">
        <v>27</v>
      </c>
    </row>
    <row r="20" spans="1:6" x14ac:dyDescent="0.3">
      <c r="A20" t="s">
        <v>46</v>
      </c>
      <c r="B20">
        <v>20</v>
      </c>
      <c r="C20">
        <v>1</v>
      </c>
      <c r="D20">
        <v>0</v>
      </c>
      <c r="E20">
        <v>16</v>
      </c>
      <c r="F20">
        <v>29</v>
      </c>
    </row>
    <row r="21" spans="1:6" x14ac:dyDescent="0.3">
      <c r="A21" t="s">
        <v>47</v>
      </c>
      <c r="B21">
        <v>9</v>
      </c>
      <c r="C21">
        <v>0</v>
      </c>
      <c r="D21">
        <v>1</v>
      </c>
      <c r="E21">
        <v>5</v>
      </c>
      <c r="F21">
        <v>18</v>
      </c>
    </row>
    <row r="22" spans="1:6" x14ac:dyDescent="0.3">
      <c r="A22" t="s">
        <v>48</v>
      </c>
      <c r="B22">
        <v>13</v>
      </c>
      <c r="C22">
        <v>0</v>
      </c>
      <c r="D22">
        <v>0</v>
      </c>
      <c r="E22">
        <v>17</v>
      </c>
      <c r="F22">
        <v>30</v>
      </c>
    </row>
    <row r="23" spans="1:6" x14ac:dyDescent="0.3">
      <c r="A23" t="s">
        <v>49</v>
      </c>
      <c r="B23">
        <v>21</v>
      </c>
      <c r="C23">
        <v>0</v>
      </c>
      <c r="D23">
        <v>0</v>
      </c>
      <c r="E23">
        <v>26</v>
      </c>
      <c r="F23">
        <v>39</v>
      </c>
    </row>
    <row r="24" spans="1:6" x14ac:dyDescent="0.3">
      <c r="A24" t="s">
        <v>50</v>
      </c>
      <c r="B24">
        <v>19</v>
      </c>
      <c r="C24">
        <v>0</v>
      </c>
      <c r="D24">
        <v>0</v>
      </c>
      <c r="E24">
        <v>20</v>
      </c>
      <c r="F24">
        <v>33</v>
      </c>
    </row>
    <row r="25" spans="1:6" x14ac:dyDescent="0.3">
      <c r="A25" t="s">
        <v>51</v>
      </c>
      <c r="B25">
        <v>18</v>
      </c>
      <c r="C25">
        <v>0</v>
      </c>
      <c r="D25">
        <v>0</v>
      </c>
      <c r="E25">
        <v>26</v>
      </c>
      <c r="F25">
        <v>39</v>
      </c>
    </row>
    <row r="26" spans="1:6" x14ac:dyDescent="0.3">
      <c r="A26" t="s">
        <v>52</v>
      </c>
      <c r="B26">
        <v>19</v>
      </c>
      <c r="C26">
        <v>0</v>
      </c>
      <c r="D26">
        <v>0</v>
      </c>
      <c r="E26">
        <v>20</v>
      </c>
      <c r="F26">
        <v>33</v>
      </c>
    </row>
    <row r="27" spans="1:6" x14ac:dyDescent="0.3">
      <c r="A27" t="s">
        <v>53</v>
      </c>
      <c r="B27">
        <v>20</v>
      </c>
      <c r="C27">
        <v>0</v>
      </c>
      <c r="D27">
        <v>0</v>
      </c>
      <c r="E27">
        <v>24</v>
      </c>
      <c r="F27">
        <v>37</v>
      </c>
    </row>
    <row r="28" spans="1:6" x14ac:dyDescent="0.3">
      <c r="A28" t="s">
        <v>54</v>
      </c>
      <c r="B28">
        <v>7</v>
      </c>
      <c r="C28">
        <v>3</v>
      </c>
      <c r="D28">
        <v>0</v>
      </c>
      <c r="E28">
        <v>16</v>
      </c>
      <c r="F28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55</v>
      </c>
      <c r="B1" s="1" t="s">
        <v>56</v>
      </c>
      <c r="C1" s="1" t="s">
        <v>57</v>
      </c>
    </row>
    <row r="2" spans="1:3" x14ac:dyDescent="0.3">
      <c r="A2" t="s">
        <v>58</v>
      </c>
      <c r="B2">
        <v>56</v>
      </c>
      <c r="C2" t="s">
        <v>59</v>
      </c>
    </row>
    <row r="3" spans="1:3" x14ac:dyDescent="0.3">
      <c r="A3" t="s">
        <v>60</v>
      </c>
      <c r="B3">
        <v>27</v>
      </c>
      <c r="C3" t="s">
        <v>59</v>
      </c>
    </row>
    <row r="4" spans="1:3" x14ac:dyDescent="0.3">
      <c r="A4" t="s">
        <v>61</v>
      </c>
      <c r="B4">
        <v>27</v>
      </c>
      <c r="C4" t="s">
        <v>62</v>
      </c>
    </row>
    <row r="5" spans="1:3" x14ac:dyDescent="0.3">
      <c r="A5" t="s">
        <v>63</v>
      </c>
      <c r="B5">
        <v>22</v>
      </c>
      <c r="C5" t="s">
        <v>64</v>
      </c>
    </row>
    <row r="6" spans="1:3" x14ac:dyDescent="0.3">
      <c r="A6" t="s">
        <v>65</v>
      </c>
      <c r="B6">
        <v>54</v>
      </c>
      <c r="C6" t="s">
        <v>66</v>
      </c>
    </row>
    <row r="7" spans="1:3" x14ac:dyDescent="0.3">
      <c r="A7" t="s">
        <v>67</v>
      </c>
      <c r="B7">
        <v>0.69159999999999999</v>
      </c>
      <c r="C7" t="s">
        <v>68</v>
      </c>
    </row>
    <row r="8" spans="1:3" x14ac:dyDescent="0.3">
      <c r="A8" t="s">
        <v>69</v>
      </c>
      <c r="B8">
        <v>6.4516400000000005E-5</v>
      </c>
      <c r="C8" t="s">
        <v>70</v>
      </c>
    </row>
    <row r="9" spans="1:3" x14ac:dyDescent="0.3">
      <c r="A9" t="s">
        <v>71</v>
      </c>
      <c r="B9">
        <v>0.54459999999999997</v>
      </c>
      <c r="C9" t="s">
        <v>72</v>
      </c>
    </row>
    <row r="10" spans="1:3" x14ac:dyDescent="0.3">
      <c r="A10" t="s">
        <v>73</v>
      </c>
      <c r="B10">
        <v>3.3111400000000002E-3</v>
      </c>
      <c r="C10" t="s">
        <v>70</v>
      </c>
    </row>
    <row r="11" spans="1:3" x14ac:dyDescent="0.3">
      <c r="A11" t="s">
        <v>74</v>
      </c>
      <c r="B11">
        <v>0.69350000000000001</v>
      </c>
      <c r="C11" t="s">
        <v>75</v>
      </c>
    </row>
    <row r="12" spans="1:3" x14ac:dyDescent="0.3">
      <c r="A12" t="s">
        <v>76</v>
      </c>
      <c r="B12">
        <v>0.56389999999999996</v>
      </c>
      <c r="C1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5"/>
  <sheetViews>
    <sheetView workbookViewId="0"/>
  </sheetViews>
  <sheetFormatPr defaultRowHeight="14.4" x14ac:dyDescent="0.3"/>
  <sheetData>
    <row r="1" spans="1:1" x14ac:dyDescent="0.3">
      <c r="A1" s="1" t="s">
        <v>77</v>
      </c>
    </row>
    <row r="2" spans="1:1" x14ac:dyDescent="0.3">
      <c r="A2" t="s">
        <v>78</v>
      </c>
    </row>
    <row r="3" spans="1:1" x14ac:dyDescent="0.3">
      <c r="A3" t="s">
        <v>79</v>
      </c>
    </row>
    <row r="4" spans="1:1" x14ac:dyDescent="0.3">
      <c r="A4" t="s">
        <v>80</v>
      </c>
    </row>
    <row r="5" spans="1:1" x14ac:dyDescent="0.3">
      <c r="A5" t="s">
        <v>81</v>
      </c>
    </row>
    <row r="6" spans="1:1" x14ac:dyDescent="0.3">
      <c r="A6" t="s">
        <v>82</v>
      </c>
    </row>
    <row r="7" spans="1:1" x14ac:dyDescent="0.3">
      <c r="A7" t="s">
        <v>83</v>
      </c>
    </row>
    <row r="8" spans="1:1" x14ac:dyDescent="0.3">
      <c r="A8" t="s">
        <v>84</v>
      </c>
    </row>
    <row r="9" spans="1:1" x14ac:dyDescent="0.3">
      <c r="A9" t="s">
        <v>85</v>
      </c>
    </row>
    <row r="10" spans="1:1" x14ac:dyDescent="0.3">
      <c r="A10" t="s">
        <v>86</v>
      </c>
    </row>
    <row r="11" spans="1:1" x14ac:dyDescent="0.3">
      <c r="A11" t="s">
        <v>87</v>
      </c>
    </row>
    <row r="12" spans="1:1" x14ac:dyDescent="0.3">
      <c r="A12" t="s">
        <v>88</v>
      </c>
    </row>
    <row r="13" spans="1:1" x14ac:dyDescent="0.3">
      <c r="A13" t="s">
        <v>89</v>
      </c>
    </row>
    <row r="14" spans="1:1" x14ac:dyDescent="0.3">
      <c r="A14" t="s">
        <v>90</v>
      </c>
    </row>
    <row r="15" spans="1:1" x14ac:dyDescent="0.3">
      <c r="A15" t="s">
        <v>91</v>
      </c>
    </row>
    <row r="16" spans="1:1" x14ac:dyDescent="0.3">
      <c r="A16" t="s">
        <v>92</v>
      </c>
    </row>
    <row r="17" spans="1:1" x14ac:dyDescent="0.3">
      <c r="A17" t="s">
        <v>93</v>
      </c>
    </row>
    <row r="18" spans="1:1" x14ac:dyDescent="0.3">
      <c r="A18" t="s">
        <v>94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2" spans="1:1" x14ac:dyDescent="0.3">
      <c r="A22" t="s">
        <v>98</v>
      </c>
    </row>
    <row r="23" spans="1:1" x14ac:dyDescent="0.3">
      <c r="A23" t="s">
        <v>99</v>
      </c>
    </row>
    <row r="24" spans="1:1" x14ac:dyDescent="0.3">
      <c r="A24" t="s">
        <v>100</v>
      </c>
    </row>
    <row r="25" spans="1:1" x14ac:dyDescent="0.3">
      <c r="A25" t="s">
        <v>101</v>
      </c>
    </row>
    <row r="26" spans="1:1" x14ac:dyDescent="0.3">
      <c r="A26" t="s">
        <v>102</v>
      </c>
    </row>
    <row r="27" spans="1:1" x14ac:dyDescent="0.3">
      <c r="A27" t="s">
        <v>103</v>
      </c>
    </row>
    <row r="28" spans="1:1" x14ac:dyDescent="0.3">
      <c r="A28" t="s">
        <v>104</v>
      </c>
    </row>
    <row r="29" spans="1:1" x14ac:dyDescent="0.3">
      <c r="A29" t="s">
        <v>105</v>
      </c>
    </row>
    <row r="30" spans="1:1" x14ac:dyDescent="0.3">
      <c r="A30" t="s">
        <v>106</v>
      </c>
    </row>
    <row r="31" spans="1:1" x14ac:dyDescent="0.3">
      <c r="A31" t="s">
        <v>107</v>
      </c>
    </row>
    <row r="32" spans="1:1" x14ac:dyDescent="0.3">
      <c r="A32" t="s">
        <v>108</v>
      </c>
    </row>
    <row r="33" spans="1:1" x14ac:dyDescent="0.3">
      <c r="A33" t="s">
        <v>109</v>
      </c>
    </row>
    <row r="34" spans="1:1" x14ac:dyDescent="0.3">
      <c r="A34" t="s">
        <v>110</v>
      </c>
    </row>
    <row r="35" spans="1:1" x14ac:dyDescent="0.3">
      <c r="A35" t="s">
        <v>111</v>
      </c>
    </row>
    <row r="36" spans="1:1" x14ac:dyDescent="0.3">
      <c r="A36" t="s">
        <v>112</v>
      </c>
    </row>
    <row r="37" spans="1:1" x14ac:dyDescent="0.3">
      <c r="A37" t="s">
        <v>113</v>
      </c>
    </row>
    <row r="38" spans="1:1" x14ac:dyDescent="0.3">
      <c r="A38" t="s">
        <v>114</v>
      </c>
    </row>
    <row r="39" spans="1:1" x14ac:dyDescent="0.3">
      <c r="A39" t="s">
        <v>115</v>
      </c>
    </row>
    <row r="40" spans="1:1" x14ac:dyDescent="0.3">
      <c r="A40" t="s">
        <v>116</v>
      </c>
    </row>
    <row r="41" spans="1:1" x14ac:dyDescent="0.3">
      <c r="A41" t="s">
        <v>117</v>
      </c>
    </row>
    <row r="42" spans="1:1" x14ac:dyDescent="0.3">
      <c r="A42" t="s">
        <v>118</v>
      </c>
    </row>
    <row r="43" spans="1:1" x14ac:dyDescent="0.3">
      <c r="A43" t="s">
        <v>119</v>
      </c>
    </row>
    <row r="44" spans="1:1" x14ac:dyDescent="0.3">
      <c r="A44" t="s">
        <v>120</v>
      </c>
    </row>
    <row r="45" spans="1:1" x14ac:dyDescent="0.3">
      <c r="A45" t="s">
        <v>121</v>
      </c>
    </row>
    <row r="46" spans="1:1" x14ac:dyDescent="0.3">
      <c r="A46" t="s">
        <v>122</v>
      </c>
    </row>
    <row r="47" spans="1:1" x14ac:dyDescent="0.3">
      <c r="A47" t="s">
        <v>123</v>
      </c>
    </row>
    <row r="48" spans="1:1" x14ac:dyDescent="0.3">
      <c r="A48" t="s">
        <v>124</v>
      </c>
    </row>
    <row r="49" spans="1:1" x14ac:dyDescent="0.3">
      <c r="A49" t="s">
        <v>125</v>
      </c>
    </row>
    <row r="50" spans="1:1" x14ac:dyDescent="0.3">
      <c r="A50" t="s">
        <v>126</v>
      </c>
    </row>
    <row r="51" spans="1:1" x14ac:dyDescent="0.3">
      <c r="A51" t="s">
        <v>127</v>
      </c>
    </row>
    <row r="52" spans="1:1" x14ac:dyDescent="0.3">
      <c r="A52" t="s">
        <v>128</v>
      </c>
    </row>
    <row r="53" spans="1:1" x14ac:dyDescent="0.3">
      <c r="A53" t="s">
        <v>129</v>
      </c>
    </row>
    <row r="54" spans="1:1" x14ac:dyDescent="0.3">
      <c r="A54" t="s">
        <v>130</v>
      </c>
    </row>
    <row r="55" spans="1:1" x14ac:dyDescent="0.3">
      <c r="A55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3"/>
  <sheetViews>
    <sheetView workbookViewId="0"/>
  </sheetViews>
  <sheetFormatPr defaultRowHeight="14.4" x14ac:dyDescent="0.3"/>
  <sheetData>
    <row r="1" spans="1:1" x14ac:dyDescent="0.3">
      <c r="A1" s="1" t="s">
        <v>132</v>
      </c>
    </row>
    <row r="2" spans="1:1" x14ac:dyDescent="0.3">
      <c r="A2" t="s">
        <v>133</v>
      </c>
    </row>
    <row r="3" spans="1:1" x14ac:dyDescent="0.3">
      <c r="A3" t="s">
        <v>134</v>
      </c>
    </row>
    <row r="4" spans="1:1" x14ac:dyDescent="0.3">
      <c r="A4" t="s">
        <v>135</v>
      </c>
    </row>
    <row r="5" spans="1:1" x14ac:dyDescent="0.3">
      <c r="A5" t="s">
        <v>136</v>
      </c>
    </row>
    <row r="6" spans="1:1" x14ac:dyDescent="0.3">
      <c r="A6" t="s">
        <v>137</v>
      </c>
    </row>
    <row r="7" spans="1:1" x14ac:dyDescent="0.3">
      <c r="A7" t="s">
        <v>138</v>
      </c>
    </row>
    <row r="8" spans="1:1" x14ac:dyDescent="0.3">
      <c r="A8" t="s">
        <v>139</v>
      </c>
    </row>
    <row r="9" spans="1:1" x14ac:dyDescent="0.3">
      <c r="A9" t="s">
        <v>140</v>
      </c>
    </row>
    <row r="10" spans="1:1" x14ac:dyDescent="0.3">
      <c r="A10" t="s">
        <v>141</v>
      </c>
    </row>
    <row r="11" spans="1:1" x14ac:dyDescent="0.3">
      <c r="A11" t="s">
        <v>142</v>
      </c>
    </row>
    <row r="12" spans="1:1" x14ac:dyDescent="0.3">
      <c r="A12" t="s">
        <v>143</v>
      </c>
    </row>
    <row r="13" spans="1:1" x14ac:dyDescent="0.3">
      <c r="A13" t="s">
        <v>144</v>
      </c>
    </row>
    <row r="14" spans="1:1" x14ac:dyDescent="0.3">
      <c r="A14" t="s">
        <v>145</v>
      </c>
    </row>
    <row r="15" spans="1:1" x14ac:dyDescent="0.3">
      <c r="A15" t="s">
        <v>146</v>
      </c>
    </row>
    <row r="16" spans="1:1" x14ac:dyDescent="0.3">
      <c r="A16" t="s">
        <v>147</v>
      </c>
    </row>
    <row r="17" spans="1:1" x14ac:dyDescent="0.3">
      <c r="A17" t="s">
        <v>148</v>
      </c>
    </row>
    <row r="18" spans="1:1" x14ac:dyDescent="0.3">
      <c r="A18" t="s">
        <v>149</v>
      </c>
    </row>
    <row r="19" spans="1:1" x14ac:dyDescent="0.3">
      <c r="A19" t="s">
        <v>150</v>
      </c>
    </row>
    <row r="20" spans="1:1" x14ac:dyDescent="0.3">
      <c r="A20" t="s">
        <v>151</v>
      </c>
    </row>
    <row r="21" spans="1:1" x14ac:dyDescent="0.3">
      <c r="A21" t="s">
        <v>152</v>
      </c>
    </row>
    <row r="22" spans="1:1" x14ac:dyDescent="0.3">
      <c r="A22" t="s">
        <v>153</v>
      </c>
    </row>
    <row r="23" spans="1:1" x14ac:dyDescent="0.3">
      <c r="A23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workbookViewId="0"/>
  </sheetViews>
  <sheetFormatPr defaultRowHeight="14.4" x14ac:dyDescent="0.3"/>
  <sheetData>
    <row r="1" spans="1:12" x14ac:dyDescent="0.3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4</v>
      </c>
      <c r="K1" s="1" t="s">
        <v>164</v>
      </c>
      <c r="L1" s="1" t="s">
        <v>165</v>
      </c>
    </row>
    <row r="2" spans="1:12" x14ac:dyDescent="0.3">
      <c r="A2" t="s">
        <v>103</v>
      </c>
      <c r="B2" t="s">
        <v>135</v>
      </c>
      <c r="C2">
        <v>27</v>
      </c>
      <c r="D2">
        <v>13</v>
      </c>
      <c r="E2">
        <v>1</v>
      </c>
      <c r="F2">
        <v>6</v>
      </c>
      <c r="G2">
        <v>7</v>
      </c>
      <c r="H2">
        <v>15.16666666666667</v>
      </c>
      <c r="I2">
        <v>1.275362318840579E-2</v>
      </c>
      <c r="J2" t="s">
        <v>166</v>
      </c>
      <c r="K2">
        <v>0.1339130434782608</v>
      </c>
      <c r="L2" t="b">
        <v>0</v>
      </c>
    </row>
    <row r="3" spans="1:12" x14ac:dyDescent="0.3">
      <c r="A3" t="s">
        <v>103</v>
      </c>
      <c r="B3" t="s">
        <v>136</v>
      </c>
      <c r="C3">
        <v>27</v>
      </c>
      <c r="D3">
        <v>13</v>
      </c>
      <c r="E3">
        <v>1</v>
      </c>
      <c r="F3">
        <v>8</v>
      </c>
      <c r="G3">
        <v>5</v>
      </c>
      <c r="H3">
        <v>8.125</v>
      </c>
      <c r="I3">
        <v>7.6811594202898542E-2</v>
      </c>
      <c r="J3" t="s">
        <v>166</v>
      </c>
      <c r="K3">
        <v>0.32260869565217393</v>
      </c>
      <c r="L3" t="b">
        <v>0</v>
      </c>
    </row>
    <row r="4" spans="1:12" x14ac:dyDescent="0.3">
      <c r="A4" t="s">
        <v>103</v>
      </c>
      <c r="B4" t="s">
        <v>137</v>
      </c>
      <c r="C4">
        <v>27</v>
      </c>
      <c r="D4">
        <v>13</v>
      </c>
      <c r="E4">
        <v>1</v>
      </c>
      <c r="F4">
        <v>6</v>
      </c>
      <c r="G4">
        <v>7</v>
      </c>
      <c r="H4">
        <v>15.16666666666667</v>
      </c>
      <c r="I4">
        <v>1.275362318840579E-2</v>
      </c>
      <c r="J4" t="s">
        <v>166</v>
      </c>
      <c r="K4">
        <v>0.1339130434782608</v>
      </c>
      <c r="L4" t="b">
        <v>0</v>
      </c>
    </row>
    <row r="5" spans="1:12" x14ac:dyDescent="0.3">
      <c r="A5" t="s">
        <v>105</v>
      </c>
      <c r="B5" t="s">
        <v>135</v>
      </c>
      <c r="C5">
        <v>27</v>
      </c>
      <c r="D5">
        <v>3</v>
      </c>
      <c r="E5">
        <v>0</v>
      </c>
      <c r="F5">
        <v>16</v>
      </c>
      <c r="G5">
        <v>8</v>
      </c>
      <c r="H5" t="s">
        <v>167</v>
      </c>
      <c r="I5">
        <v>0.53230769230769226</v>
      </c>
      <c r="J5" t="s">
        <v>166</v>
      </c>
      <c r="K5">
        <v>0.88639053254437861</v>
      </c>
      <c r="L5" t="b">
        <v>0</v>
      </c>
    </row>
    <row r="6" spans="1:12" x14ac:dyDescent="0.3">
      <c r="A6" t="s">
        <v>105</v>
      </c>
      <c r="B6" t="s">
        <v>136</v>
      </c>
      <c r="C6">
        <v>27</v>
      </c>
      <c r="D6">
        <v>3</v>
      </c>
      <c r="E6">
        <v>0</v>
      </c>
      <c r="F6">
        <v>18</v>
      </c>
      <c r="G6">
        <v>6</v>
      </c>
      <c r="H6" t="s">
        <v>167</v>
      </c>
      <c r="I6">
        <v>1</v>
      </c>
      <c r="J6" t="s">
        <v>166</v>
      </c>
      <c r="K6">
        <v>1</v>
      </c>
      <c r="L6" t="b">
        <v>0</v>
      </c>
    </row>
    <row r="7" spans="1:12" x14ac:dyDescent="0.3">
      <c r="A7" t="s">
        <v>105</v>
      </c>
      <c r="B7" t="s">
        <v>137</v>
      </c>
      <c r="C7">
        <v>27</v>
      </c>
      <c r="D7">
        <v>3</v>
      </c>
      <c r="E7">
        <v>0</v>
      </c>
      <c r="F7">
        <v>16</v>
      </c>
      <c r="G7">
        <v>8</v>
      </c>
      <c r="H7" t="s">
        <v>167</v>
      </c>
      <c r="I7">
        <v>0.53230769230769226</v>
      </c>
      <c r="J7" t="s">
        <v>166</v>
      </c>
      <c r="K7">
        <v>0.88639053254437861</v>
      </c>
      <c r="L7" t="b">
        <v>0</v>
      </c>
    </row>
    <row r="8" spans="1:12" x14ac:dyDescent="0.3">
      <c r="A8" t="s">
        <v>100</v>
      </c>
      <c r="B8" t="s">
        <v>135</v>
      </c>
      <c r="C8">
        <v>27</v>
      </c>
      <c r="D8">
        <v>4</v>
      </c>
      <c r="E8">
        <v>1</v>
      </c>
      <c r="F8">
        <v>15</v>
      </c>
      <c r="G8">
        <v>7</v>
      </c>
      <c r="H8">
        <v>1.8666666666666669</v>
      </c>
      <c r="I8">
        <v>1</v>
      </c>
      <c r="J8" t="s">
        <v>166</v>
      </c>
      <c r="K8">
        <v>1</v>
      </c>
      <c r="L8" t="b">
        <v>0</v>
      </c>
    </row>
    <row r="9" spans="1:12" x14ac:dyDescent="0.3">
      <c r="A9" t="s">
        <v>100</v>
      </c>
      <c r="B9" t="s">
        <v>136</v>
      </c>
      <c r="C9">
        <v>27</v>
      </c>
      <c r="D9">
        <v>4</v>
      </c>
      <c r="E9">
        <v>1</v>
      </c>
      <c r="F9">
        <v>17</v>
      </c>
      <c r="G9">
        <v>5</v>
      </c>
      <c r="H9">
        <v>1.1764705882352939</v>
      </c>
      <c r="I9">
        <v>1</v>
      </c>
      <c r="J9" t="s">
        <v>166</v>
      </c>
      <c r="K9">
        <v>1</v>
      </c>
      <c r="L9" t="b">
        <v>0</v>
      </c>
    </row>
    <row r="10" spans="1:12" x14ac:dyDescent="0.3">
      <c r="A10" t="s">
        <v>100</v>
      </c>
      <c r="B10" t="s">
        <v>137</v>
      </c>
      <c r="C10">
        <v>27</v>
      </c>
      <c r="D10">
        <v>4</v>
      </c>
      <c r="E10">
        <v>1</v>
      </c>
      <c r="F10">
        <v>15</v>
      </c>
      <c r="G10">
        <v>7</v>
      </c>
      <c r="H10">
        <v>1.8666666666666669</v>
      </c>
      <c r="I10">
        <v>1</v>
      </c>
      <c r="J10" t="s">
        <v>166</v>
      </c>
      <c r="K10">
        <v>1</v>
      </c>
      <c r="L10" t="b">
        <v>0</v>
      </c>
    </row>
    <row r="11" spans="1:12" x14ac:dyDescent="0.3">
      <c r="A11" t="s">
        <v>93</v>
      </c>
      <c r="B11" t="s">
        <v>139</v>
      </c>
      <c r="C11">
        <v>27</v>
      </c>
      <c r="D11">
        <v>19</v>
      </c>
      <c r="E11">
        <v>2</v>
      </c>
      <c r="F11">
        <v>5</v>
      </c>
      <c r="G11">
        <v>1</v>
      </c>
      <c r="H11">
        <v>1.9</v>
      </c>
      <c r="I11">
        <v>0.54529914529914536</v>
      </c>
      <c r="J11" t="s">
        <v>166</v>
      </c>
      <c r="K11">
        <v>0.88639053254437861</v>
      </c>
      <c r="L11" t="b">
        <v>0</v>
      </c>
    </row>
    <row r="12" spans="1:12" x14ac:dyDescent="0.3">
      <c r="A12" t="s">
        <v>93</v>
      </c>
      <c r="B12" t="s">
        <v>140</v>
      </c>
      <c r="C12">
        <v>27</v>
      </c>
      <c r="D12">
        <v>21</v>
      </c>
      <c r="E12">
        <v>0</v>
      </c>
      <c r="F12">
        <v>6</v>
      </c>
      <c r="G12">
        <v>0</v>
      </c>
      <c r="H12" t="s">
        <v>20</v>
      </c>
      <c r="I12">
        <v>1</v>
      </c>
      <c r="J12" t="s">
        <v>166</v>
      </c>
      <c r="K12">
        <v>1</v>
      </c>
      <c r="L12" t="b">
        <v>0</v>
      </c>
    </row>
    <row r="13" spans="1:12" x14ac:dyDescent="0.3">
      <c r="A13" t="s">
        <v>93</v>
      </c>
      <c r="B13" t="s">
        <v>142</v>
      </c>
      <c r="C13">
        <v>27</v>
      </c>
      <c r="D13">
        <v>21</v>
      </c>
      <c r="E13">
        <v>0</v>
      </c>
      <c r="F13">
        <v>4</v>
      </c>
      <c r="G13">
        <v>2</v>
      </c>
      <c r="H13" t="s">
        <v>167</v>
      </c>
      <c r="I13">
        <v>4.2735042735042743E-2</v>
      </c>
      <c r="J13" t="s">
        <v>166</v>
      </c>
      <c r="K13">
        <v>0.29615384615384621</v>
      </c>
      <c r="L13" t="b">
        <v>0</v>
      </c>
    </row>
    <row r="14" spans="1:12" x14ac:dyDescent="0.3">
      <c r="A14" t="s">
        <v>93</v>
      </c>
      <c r="B14" t="s">
        <v>143</v>
      </c>
      <c r="C14">
        <v>27</v>
      </c>
      <c r="D14">
        <v>19</v>
      </c>
      <c r="E14">
        <v>2</v>
      </c>
      <c r="F14">
        <v>5</v>
      </c>
      <c r="G14">
        <v>1</v>
      </c>
      <c r="H14">
        <v>1.9</v>
      </c>
      <c r="I14">
        <v>0.54529914529914536</v>
      </c>
      <c r="J14" t="s">
        <v>166</v>
      </c>
      <c r="K14">
        <v>0.88639053254437861</v>
      </c>
      <c r="L14" t="b">
        <v>0</v>
      </c>
    </row>
    <row r="15" spans="1:12" x14ac:dyDescent="0.3">
      <c r="A15" t="s">
        <v>92</v>
      </c>
      <c r="B15" t="s">
        <v>139</v>
      </c>
      <c r="C15">
        <v>27</v>
      </c>
      <c r="D15">
        <v>16</v>
      </c>
      <c r="E15">
        <v>1</v>
      </c>
      <c r="F15">
        <v>8</v>
      </c>
      <c r="G15">
        <v>2</v>
      </c>
      <c r="H15">
        <v>4</v>
      </c>
      <c r="I15">
        <v>0.53504273504273503</v>
      </c>
      <c r="J15" t="s">
        <v>166</v>
      </c>
      <c r="K15">
        <v>0.88639053254437861</v>
      </c>
      <c r="L15" t="b">
        <v>0</v>
      </c>
    </row>
    <row r="16" spans="1:12" x14ac:dyDescent="0.3">
      <c r="A16" t="s">
        <v>92</v>
      </c>
      <c r="B16" t="s">
        <v>140</v>
      </c>
      <c r="C16">
        <v>27</v>
      </c>
      <c r="D16">
        <v>17</v>
      </c>
      <c r="E16">
        <v>0</v>
      </c>
      <c r="F16">
        <v>10</v>
      </c>
      <c r="G16">
        <v>0</v>
      </c>
      <c r="H16" t="s">
        <v>20</v>
      </c>
      <c r="I16">
        <v>1</v>
      </c>
      <c r="J16" t="s">
        <v>166</v>
      </c>
      <c r="K16">
        <v>1</v>
      </c>
      <c r="L16" t="b">
        <v>0</v>
      </c>
    </row>
    <row r="17" spans="1:12" x14ac:dyDescent="0.3">
      <c r="A17" t="s">
        <v>92</v>
      </c>
      <c r="B17" t="s">
        <v>142</v>
      </c>
      <c r="C17">
        <v>27</v>
      </c>
      <c r="D17">
        <v>15</v>
      </c>
      <c r="E17">
        <v>2</v>
      </c>
      <c r="F17">
        <v>10</v>
      </c>
      <c r="G17">
        <v>0</v>
      </c>
      <c r="H17">
        <v>0</v>
      </c>
      <c r="I17">
        <v>0.51566951566951569</v>
      </c>
      <c r="J17" t="s">
        <v>166</v>
      </c>
      <c r="K17">
        <v>0.88639053254437861</v>
      </c>
      <c r="L17" t="b">
        <v>0</v>
      </c>
    </row>
    <row r="18" spans="1:12" x14ac:dyDescent="0.3">
      <c r="A18" t="s">
        <v>92</v>
      </c>
      <c r="B18" t="s">
        <v>143</v>
      </c>
      <c r="C18">
        <v>27</v>
      </c>
      <c r="D18">
        <v>15</v>
      </c>
      <c r="E18">
        <v>2</v>
      </c>
      <c r="F18">
        <v>9</v>
      </c>
      <c r="G18">
        <v>1</v>
      </c>
      <c r="H18">
        <v>0.83333333333333337</v>
      </c>
      <c r="I18">
        <v>1</v>
      </c>
      <c r="J18" t="s">
        <v>166</v>
      </c>
      <c r="K18">
        <v>1</v>
      </c>
      <c r="L18" t="b">
        <v>0</v>
      </c>
    </row>
    <row r="19" spans="1:12" x14ac:dyDescent="0.3">
      <c r="A19" t="s">
        <v>104</v>
      </c>
      <c r="B19" t="s">
        <v>139</v>
      </c>
      <c r="C19">
        <v>27</v>
      </c>
      <c r="D19">
        <v>16</v>
      </c>
      <c r="E19">
        <v>0</v>
      </c>
      <c r="F19">
        <v>8</v>
      </c>
      <c r="G19">
        <v>3</v>
      </c>
      <c r="H19" t="s">
        <v>167</v>
      </c>
      <c r="I19">
        <v>5.6410256410256411E-2</v>
      </c>
      <c r="J19" t="s">
        <v>166</v>
      </c>
      <c r="K19">
        <v>0.29615384615384621</v>
      </c>
      <c r="L19" t="b">
        <v>0</v>
      </c>
    </row>
    <row r="20" spans="1:12" x14ac:dyDescent="0.3">
      <c r="A20" t="s">
        <v>104</v>
      </c>
      <c r="B20" t="s">
        <v>140</v>
      </c>
      <c r="C20">
        <v>27</v>
      </c>
      <c r="D20">
        <v>16</v>
      </c>
      <c r="E20">
        <v>0</v>
      </c>
      <c r="F20">
        <v>11</v>
      </c>
      <c r="G20">
        <v>0</v>
      </c>
      <c r="H20" t="s">
        <v>20</v>
      </c>
      <c r="I20">
        <v>1</v>
      </c>
      <c r="J20" t="s">
        <v>166</v>
      </c>
      <c r="K20">
        <v>1</v>
      </c>
      <c r="L20" t="b">
        <v>0</v>
      </c>
    </row>
    <row r="21" spans="1:12" x14ac:dyDescent="0.3">
      <c r="A21" t="s">
        <v>104</v>
      </c>
      <c r="B21" t="s">
        <v>142</v>
      </c>
      <c r="C21">
        <v>27</v>
      </c>
      <c r="D21">
        <v>16</v>
      </c>
      <c r="E21">
        <v>0</v>
      </c>
      <c r="F21">
        <v>9</v>
      </c>
      <c r="G21">
        <v>2</v>
      </c>
      <c r="H21" t="s">
        <v>167</v>
      </c>
      <c r="I21">
        <v>0.15669515669515671</v>
      </c>
      <c r="J21" t="s">
        <v>166</v>
      </c>
      <c r="K21">
        <v>0.54843304843304852</v>
      </c>
      <c r="L21" t="b">
        <v>0</v>
      </c>
    </row>
    <row r="22" spans="1:12" x14ac:dyDescent="0.3">
      <c r="A22" t="s">
        <v>104</v>
      </c>
      <c r="B22" t="s">
        <v>143</v>
      </c>
      <c r="C22">
        <v>27</v>
      </c>
      <c r="D22">
        <v>15</v>
      </c>
      <c r="E22">
        <v>1</v>
      </c>
      <c r="F22">
        <v>9</v>
      </c>
      <c r="G22">
        <v>2</v>
      </c>
      <c r="H22">
        <v>3.333333333333333</v>
      </c>
      <c r="I22">
        <v>0.54871794871794866</v>
      </c>
      <c r="J22" t="s">
        <v>166</v>
      </c>
      <c r="K22">
        <v>0.88639053254437861</v>
      </c>
      <c r="L2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168</v>
      </c>
      <c r="B1" s="1" t="s">
        <v>169</v>
      </c>
    </row>
    <row r="2" spans="1:2" x14ac:dyDescent="0.3">
      <c r="A2" t="s">
        <v>170</v>
      </c>
      <c r="B2" t="s">
        <v>171</v>
      </c>
    </row>
    <row r="3" spans="1:2" x14ac:dyDescent="0.3">
      <c r="A3" t="s">
        <v>61</v>
      </c>
      <c r="B3">
        <v>27</v>
      </c>
    </row>
    <row r="4" spans="1:2" x14ac:dyDescent="0.3">
      <c r="A4" t="s">
        <v>172</v>
      </c>
      <c r="B4">
        <v>56</v>
      </c>
    </row>
    <row r="5" spans="1:2" x14ac:dyDescent="0.3">
      <c r="A5" t="s">
        <v>173</v>
      </c>
      <c r="B5">
        <v>27</v>
      </c>
    </row>
    <row r="6" spans="1:2" x14ac:dyDescent="0.3">
      <c r="A6" t="s">
        <v>174</v>
      </c>
      <c r="B6" t="s">
        <v>175</v>
      </c>
    </row>
    <row r="7" spans="1:2" x14ac:dyDescent="0.3">
      <c r="A7" t="s">
        <v>176</v>
      </c>
      <c r="B7" t="s">
        <v>177</v>
      </c>
    </row>
    <row r="8" spans="1:2" x14ac:dyDescent="0.3">
      <c r="A8" t="s">
        <v>178</v>
      </c>
      <c r="B8" t="s">
        <v>179</v>
      </c>
    </row>
    <row r="9" spans="1:2" x14ac:dyDescent="0.3">
      <c r="A9" t="s">
        <v>180</v>
      </c>
      <c r="B9" t="s">
        <v>181</v>
      </c>
    </row>
    <row r="10" spans="1:2" x14ac:dyDescent="0.3">
      <c r="A10" t="s">
        <v>182</v>
      </c>
      <c r="B10">
        <v>21</v>
      </c>
    </row>
    <row r="11" spans="1:2" x14ac:dyDescent="0.3">
      <c r="A11" t="s">
        <v>183</v>
      </c>
      <c r="B11" t="s">
        <v>184</v>
      </c>
    </row>
    <row r="12" spans="1:2" x14ac:dyDescent="0.3">
      <c r="A12" t="s">
        <v>185</v>
      </c>
      <c r="B12" t="s">
        <v>186</v>
      </c>
    </row>
    <row r="13" spans="1:2" x14ac:dyDescent="0.3">
      <c r="A13" t="s">
        <v>187</v>
      </c>
      <c r="B13">
        <v>0</v>
      </c>
    </row>
    <row r="14" spans="1:2" x14ac:dyDescent="0.3">
      <c r="A14" t="s">
        <v>19</v>
      </c>
      <c r="B14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05" customWidth="1"/>
  </cols>
  <sheetData>
    <row r="1" spans="1:2" ht="36" customHeight="1" x14ac:dyDescent="0.3">
      <c r="A1" s="2" t="s">
        <v>189</v>
      </c>
      <c r="B1" s="2" t="s">
        <v>190</v>
      </c>
    </row>
    <row r="2" spans="1:2" ht="30" customHeight="1" x14ac:dyDescent="0.3">
      <c r="A2" s="4" t="s">
        <v>191</v>
      </c>
      <c r="B2" s="3" t="s">
        <v>192</v>
      </c>
    </row>
    <row r="3" spans="1:2" ht="30" customHeight="1" x14ac:dyDescent="0.3">
      <c r="A3" s="4" t="s">
        <v>193</v>
      </c>
      <c r="B3" s="3" t="s">
        <v>194</v>
      </c>
    </row>
    <row r="4" spans="1:2" ht="30" customHeight="1" x14ac:dyDescent="0.3">
      <c r="A4" s="4" t="s">
        <v>195</v>
      </c>
      <c r="B4" s="3" t="s">
        <v>196</v>
      </c>
    </row>
    <row r="5" spans="1:2" ht="30" customHeight="1" x14ac:dyDescent="0.3">
      <c r="A5" s="4" t="s">
        <v>197</v>
      </c>
      <c r="B5" s="3" t="s">
        <v>198</v>
      </c>
    </row>
    <row r="6" spans="1:2" ht="30" customHeight="1" x14ac:dyDescent="0.3">
      <c r="A6" s="4" t="s">
        <v>199</v>
      </c>
      <c r="B6" s="3" t="s">
        <v>200</v>
      </c>
    </row>
    <row r="7" spans="1:2" ht="30" customHeight="1" x14ac:dyDescent="0.3">
      <c r="A7" s="4" t="s">
        <v>201</v>
      </c>
      <c r="B7" s="3" t="s">
        <v>202</v>
      </c>
    </row>
    <row r="8" spans="1:2" ht="30" customHeight="1" x14ac:dyDescent="0.3">
      <c r="A8" s="4" t="s">
        <v>203</v>
      </c>
      <c r="B8" s="3" t="s">
        <v>204</v>
      </c>
    </row>
    <row r="9" spans="1:2" ht="30" customHeight="1" x14ac:dyDescent="0.3">
      <c r="A9" s="4" t="s">
        <v>205</v>
      </c>
      <c r="B9" s="3">
        <v>0</v>
      </c>
    </row>
    <row r="10" spans="1:2" ht="30" customHeight="1" x14ac:dyDescent="0.3">
      <c r="A10" s="4" t="s">
        <v>206</v>
      </c>
      <c r="B10" s="3">
        <v>29</v>
      </c>
    </row>
    <row r="11" spans="1:2" ht="30" customHeight="1" x14ac:dyDescent="0.3">
      <c r="A11" s="4" t="s">
        <v>207</v>
      </c>
      <c r="B11" s="3">
        <v>0</v>
      </c>
    </row>
    <row r="12" spans="1:2" ht="30" customHeight="1" x14ac:dyDescent="0.3">
      <c r="A12" s="4" t="s">
        <v>208</v>
      </c>
      <c r="B12" s="3" t="s">
        <v>209</v>
      </c>
    </row>
    <row r="13" spans="1:2" ht="30" customHeight="1" x14ac:dyDescent="0.3">
      <c r="A13" s="4" t="s">
        <v>210</v>
      </c>
      <c r="B13" s="3" t="s">
        <v>211</v>
      </c>
    </row>
    <row r="14" spans="1:2" ht="30" customHeight="1" x14ac:dyDescent="0.3">
      <c r="A14" s="4" t="s">
        <v>212</v>
      </c>
      <c r="B14" s="3" t="s">
        <v>213</v>
      </c>
    </row>
    <row r="15" spans="1:2" ht="30" customHeight="1" x14ac:dyDescent="0.3">
      <c r="A15" s="4" t="s">
        <v>214</v>
      </c>
      <c r="B15" s="3" t="s">
        <v>215</v>
      </c>
    </row>
    <row r="16" spans="1:2" ht="30" customHeight="1" x14ac:dyDescent="0.3">
      <c r="A16" s="4" t="s">
        <v>216</v>
      </c>
      <c r="B16" s="3" t="s">
        <v>217</v>
      </c>
    </row>
    <row r="17" spans="1:2" ht="30" customHeight="1" x14ac:dyDescent="0.3">
      <c r="A17" s="4" t="s">
        <v>218</v>
      </c>
      <c r="B17" s="3" t="s">
        <v>219</v>
      </c>
    </row>
    <row r="18" spans="1:2" ht="30" customHeight="1" x14ac:dyDescent="0.3">
      <c r="A18" s="4" t="s">
        <v>220</v>
      </c>
      <c r="B18" s="3" t="s">
        <v>221</v>
      </c>
    </row>
    <row r="19" spans="1:2" ht="30" customHeight="1" x14ac:dyDescent="0.3">
      <c r="A19" s="4" t="s">
        <v>222</v>
      </c>
      <c r="B19" s="3" t="s">
        <v>223</v>
      </c>
    </row>
    <row r="20" spans="1:2" ht="30" customHeight="1" x14ac:dyDescent="0.3">
      <c r="A20" s="4" t="s">
        <v>224</v>
      </c>
      <c r="B20" s="3" t="s">
        <v>225</v>
      </c>
    </row>
    <row r="21" spans="1:2" ht="30" customHeight="1" x14ac:dyDescent="0.3">
      <c r="A21" s="4" t="s">
        <v>4</v>
      </c>
      <c r="B21" s="3" t="s">
        <v>226</v>
      </c>
    </row>
    <row r="22" spans="1:2" ht="30" customHeight="1" x14ac:dyDescent="0.3">
      <c r="A22" s="4" t="s">
        <v>227</v>
      </c>
      <c r="B22" s="3" t="s">
        <v>228</v>
      </c>
    </row>
    <row r="23" spans="1:2" ht="30" customHeight="1" x14ac:dyDescent="0.3">
      <c r="A23" s="4" t="s">
        <v>229</v>
      </c>
      <c r="B23" s="3" t="s">
        <v>230</v>
      </c>
    </row>
    <row r="24" spans="1:2" ht="30" customHeight="1" x14ac:dyDescent="0.3">
      <c r="A24" s="4" t="s">
        <v>231</v>
      </c>
      <c r="B24" s="3" t="s">
        <v>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X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" width="15" customWidth="1"/>
    <col min="6" max="49" width="16" customWidth="1"/>
  </cols>
  <sheetData>
    <row r="1" spans="1:76" ht="36" customHeight="1" x14ac:dyDescent="0.3">
      <c r="A1" s="2">
        <v>2019</v>
      </c>
      <c r="B1" s="2" t="s">
        <v>233</v>
      </c>
      <c r="C1" s="2" t="s">
        <v>234</v>
      </c>
      <c r="D1" s="2" t="s">
        <v>235</v>
      </c>
      <c r="E1" s="2" t="s">
        <v>236</v>
      </c>
      <c r="F1" s="2" t="s">
        <v>133</v>
      </c>
      <c r="G1" s="2" t="s">
        <v>237</v>
      </c>
      <c r="H1" s="2" t="s">
        <v>134</v>
      </c>
      <c r="I1" s="2" t="s">
        <v>238</v>
      </c>
      <c r="J1" s="2" t="s">
        <v>135</v>
      </c>
      <c r="K1" s="2" t="s">
        <v>239</v>
      </c>
      <c r="L1" s="2" t="s">
        <v>136</v>
      </c>
      <c r="M1" s="2" t="s">
        <v>240</v>
      </c>
      <c r="N1" s="2" t="s">
        <v>137</v>
      </c>
      <c r="O1" s="2" t="s">
        <v>239</v>
      </c>
      <c r="P1" s="2" t="s">
        <v>138</v>
      </c>
      <c r="Q1" s="2" t="s">
        <v>241</v>
      </c>
      <c r="R1" s="2" t="s">
        <v>139</v>
      </c>
      <c r="S1" s="2" t="s">
        <v>238</v>
      </c>
      <c r="T1" s="2" t="s">
        <v>140</v>
      </c>
      <c r="U1" s="2" t="s">
        <v>239</v>
      </c>
      <c r="V1" s="2" t="s">
        <v>141</v>
      </c>
      <c r="W1" s="2" t="s">
        <v>242</v>
      </c>
      <c r="X1" s="2" t="s">
        <v>142</v>
      </c>
      <c r="Y1" s="2" t="s">
        <v>243</v>
      </c>
      <c r="Z1" s="2" t="s">
        <v>143</v>
      </c>
      <c r="AA1" s="2" t="s">
        <v>244</v>
      </c>
      <c r="AB1" s="2" t="s">
        <v>144</v>
      </c>
      <c r="AC1" s="2" t="s">
        <v>245</v>
      </c>
      <c r="AD1" s="2" t="s">
        <v>145</v>
      </c>
      <c r="AE1" s="2" t="s">
        <v>246</v>
      </c>
      <c r="AF1" s="2" t="s">
        <v>146</v>
      </c>
      <c r="AG1" s="2" t="s">
        <v>247</v>
      </c>
      <c r="AH1" s="2" t="s">
        <v>147</v>
      </c>
      <c r="AI1" s="2" t="s">
        <v>247</v>
      </c>
      <c r="AJ1" s="2" t="s">
        <v>148</v>
      </c>
      <c r="AK1" s="2" t="s">
        <v>248</v>
      </c>
      <c r="AL1" s="2" t="s">
        <v>149</v>
      </c>
      <c r="AM1" s="2" t="s">
        <v>238</v>
      </c>
      <c r="AN1" s="2" t="s">
        <v>150</v>
      </c>
      <c r="AO1" s="2" t="s">
        <v>249</v>
      </c>
      <c r="AP1" s="2" t="s">
        <v>151</v>
      </c>
      <c r="AQ1" s="2" t="s">
        <v>238</v>
      </c>
      <c r="AR1" s="2" t="s">
        <v>152</v>
      </c>
      <c r="AS1" s="2" t="s">
        <v>250</v>
      </c>
      <c r="AT1" s="2" t="s">
        <v>153</v>
      </c>
      <c r="AU1" s="2" t="s">
        <v>251</v>
      </c>
      <c r="AV1" s="2" t="s">
        <v>154</v>
      </c>
      <c r="AW1" s="2" t="s">
        <v>252</v>
      </c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 spans="1:76" x14ac:dyDescent="0.3">
      <c r="A2" s="3" t="s">
        <v>28</v>
      </c>
      <c r="B2" s="3" t="s">
        <v>253</v>
      </c>
      <c r="C2" s="3" t="s">
        <v>254</v>
      </c>
      <c r="D2" s="3" t="s">
        <v>255</v>
      </c>
      <c r="E2" s="3" t="s">
        <v>256</v>
      </c>
      <c r="F2" s="3" t="s">
        <v>257</v>
      </c>
      <c r="G2" s="3" t="s">
        <v>258</v>
      </c>
      <c r="H2" s="3" t="s">
        <v>257</v>
      </c>
      <c r="I2" s="3">
        <v>4</v>
      </c>
      <c r="J2" s="3" t="s">
        <v>257</v>
      </c>
      <c r="K2" s="3" t="s">
        <v>259</v>
      </c>
      <c r="L2" s="3" t="s">
        <v>257</v>
      </c>
      <c r="M2" s="3" t="s">
        <v>260</v>
      </c>
      <c r="N2" s="3" t="s">
        <v>257</v>
      </c>
      <c r="O2" s="3" t="s">
        <v>259</v>
      </c>
      <c r="P2" s="3" t="s">
        <v>257</v>
      </c>
      <c r="Q2" s="3" t="s">
        <v>261</v>
      </c>
      <c r="R2" s="3" t="s">
        <v>257</v>
      </c>
      <c r="S2" s="3">
        <v>2</v>
      </c>
      <c r="T2" s="3" t="s">
        <v>262</v>
      </c>
      <c r="U2" s="3" t="s">
        <v>263</v>
      </c>
      <c r="V2" s="3" t="s">
        <v>262</v>
      </c>
      <c r="W2" s="3">
        <v>512</v>
      </c>
      <c r="X2" s="3" t="s">
        <v>262</v>
      </c>
      <c r="Y2" s="3" t="s">
        <v>264</v>
      </c>
      <c r="Z2" s="3" t="s">
        <v>262</v>
      </c>
      <c r="AA2" s="3">
        <v>16</v>
      </c>
      <c r="AB2" s="3" t="s">
        <v>257</v>
      </c>
      <c r="AC2" s="3">
        <v>8</v>
      </c>
      <c r="AD2" s="3" t="s">
        <v>257</v>
      </c>
      <c r="AE2" s="3" t="s">
        <v>265</v>
      </c>
      <c r="AF2" s="3" t="s">
        <v>262</v>
      </c>
      <c r="AG2" s="3" t="s">
        <v>266</v>
      </c>
      <c r="AH2" s="3" t="s">
        <v>257</v>
      </c>
      <c r="AI2" s="3" t="s">
        <v>267</v>
      </c>
      <c r="AJ2" s="3" t="s">
        <v>262</v>
      </c>
      <c r="AK2" s="3">
        <v>1</v>
      </c>
      <c r="AL2" s="3" t="s">
        <v>257</v>
      </c>
      <c r="AM2" s="3">
        <v>2</v>
      </c>
      <c r="AN2" s="3" t="s">
        <v>262</v>
      </c>
      <c r="AO2" s="3" t="s">
        <v>268</v>
      </c>
      <c r="AP2" s="3" t="s">
        <v>262</v>
      </c>
      <c r="AQ2" s="3">
        <v>16</v>
      </c>
      <c r="AR2" s="3" t="s">
        <v>262</v>
      </c>
      <c r="AS2" s="3">
        <v>512</v>
      </c>
      <c r="AT2" s="3" t="s">
        <v>269</v>
      </c>
      <c r="AU2" s="3">
        <v>64</v>
      </c>
      <c r="AV2" s="3" t="s">
        <v>257</v>
      </c>
      <c r="AW2" s="3">
        <v>64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spans="1:76" x14ac:dyDescent="0.3">
      <c r="A3" t="s">
        <v>270</v>
      </c>
      <c r="B3" t="s">
        <v>253</v>
      </c>
      <c r="C3" t="s">
        <v>271</v>
      </c>
      <c r="D3" t="s">
        <v>255</v>
      </c>
      <c r="E3" t="s">
        <v>256</v>
      </c>
      <c r="F3" t="s">
        <v>262</v>
      </c>
      <c r="G3" t="s">
        <v>264</v>
      </c>
      <c r="H3" t="s">
        <v>262</v>
      </c>
      <c r="I3" t="s">
        <v>272</v>
      </c>
      <c r="J3" t="s">
        <v>262</v>
      </c>
      <c r="K3" t="s">
        <v>272</v>
      </c>
      <c r="L3" t="s">
        <v>262</v>
      </c>
      <c r="M3">
        <v>4</v>
      </c>
      <c r="N3" t="s">
        <v>262</v>
      </c>
      <c r="O3" t="s">
        <v>272</v>
      </c>
      <c r="P3" t="s">
        <v>262</v>
      </c>
      <c r="Q3" t="s">
        <v>273</v>
      </c>
      <c r="R3" t="s">
        <v>262</v>
      </c>
      <c r="S3" t="s">
        <v>264</v>
      </c>
      <c r="T3" t="s">
        <v>262</v>
      </c>
      <c r="U3">
        <v>32</v>
      </c>
      <c r="V3" t="s">
        <v>262</v>
      </c>
      <c r="W3">
        <v>2048</v>
      </c>
      <c r="X3" t="s">
        <v>262</v>
      </c>
      <c r="Y3" t="s">
        <v>264</v>
      </c>
      <c r="Z3" t="s">
        <v>257</v>
      </c>
      <c r="AA3">
        <v>2</v>
      </c>
      <c r="AB3" t="s">
        <v>262</v>
      </c>
      <c r="AC3" t="s">
        <v>274</v>
      </c>
      <c r="AD3" t="s">
        <v>262</v>
      </c>
      <c r="AE3" t="s">
        <v>275</v>
      </c>
      <c r="AF3" t="s">
        <v>262</v>
      </c>
      <c r="AG3" t="s">
        <v>276</v>
      </c>
      <c r="AH3" t="s">
        <v>262</v>
      </c>
      <c r="AI3" t="s">
        <v>277</v>
      </c>
      <c r="AJ3" t="s">
        <v>269</v>
      </c>
      <c r="AK3">
        <v>0.5</v>
      </c>
      <c r="AL3" t="s">
        <v>257</v>
      </c>
      <c r="AM3">
        <v>2</v>
      </c>
      <c r="AN3" t="s">
        <v>262</v>
      </c>
      <c r="AO3" t="s">
        <v>268</v>
      </c>
      <c r="AP3" t="s">
        <v>262</v>
      </c>
      <c r="AQ3">
        <v>16</v>
      </c>
      <c r="AR3" t="s">
        <v>262</v>
      </c>
      <c r="AS3">
        <v>512</v>
      </c>
      <c r="AT3" t="s">
        <v>269</v>
      </c>
      <c r="AU3">
        <v>64</v>
      </c>
      <c r="AV3" t="s">
        <v>257</v>
      </c>
      <c r="AW3">
        <v>32</v>
      </c>
    </row>
    <row r="4" spans="1:76" x14ac:dyDescent="0.3">
      <c r="A4" t="s">
        <v>278</v>
      </c>
      <c r="B4" t="s">
        <v>253</v>
      </c>
      <c r="C4" t="s">
        <v>279</v>
      </c>
      <c r="D4" t="s">
        <v>280</v>
      </c>
      <c r="E4" t="s">
        <v>256</v>
      </c>
      <c r="F4" t="s">
        <v>262</v>
      </c>
      <c r="G4" t="s">
        <v>281</v>
      </c>
      <c r="H4" t="s">
        <v>262</v>
      </c>
      <c r="I4" t="s">
        <v>282</v>
      </c>
      <c r="J4" t="s">
        <v>262</v>
      </c>
      <c r="K4" t="s">
        <v>282</v>
      </c>
      <c r="L4" t="s">
        <v>262</v>
      </c>
      <c r="M4">
        <v>4</v>
      </c>
      <c r="N4" t="s">
        <v>262</v>
      </c>
      <c r="O4" t="s">
        <v>282</v>
      </c>
      <c r="P4" t="s">
        <v>262</v>
      </c>
      <c r="Q4" t="s">
        <v>273</v>
      </c>
      <c r="R4" t="s">
        <v>262</v>
      </c>
      <c r="S4" t="s">
        <v>281</v>
      </c>
      <c r="T4" t="s">
        <v>262</v>
      </c>
      <c r="U4">
        <v>16</v>
      </c>
      <c r="V4" t="s">
        <v>262</v>
      </c>
      <c r="W4">
        <v>4096</v>
      </c>
      <c r="X4" t="s">
        <v>262</v>
      </c>
      <c r="Y4" t="s">
        <v>264</v>
      </c>
      <c r="Z4" t="s">
        <v>283</v>
      </c>
      <c r="AA4">
        <v>4</v>
      </c>
      <c r="AB4" t="s">
        <v>262</v>
      </c>
      <c r="AC4" t="s">
        <v>274</v>
      </c>
      <c r="AD4" t="s">
        <v>262</v>
      </c>
      <c r="AE4" t="s">
        <v>275</v>
      </c>
      <c r="AF4" t="s">
        <v>262</v>
      </c>
      <c r="AG4" t="s">
        <v>276</v>
      </c>
      <c r="AH4" t="s">
        <v>262</v>
      </c>
      <c r="AI4" t="s">
        <v>277</v>
      </c>
      <c r="AJ4" t="s">
        <v>269</v>
      </c>
      <c r="AK4">
        <v>0.5</v>
      </c>
      <c r="AL4" t="s">
        <v>257</v>
      </c>
      <c r="AM4">
        <v>2</v>
      </c>
      <c r="AN4" t="s">
        <v>262</v>
      </c>
      <c r="AO4" t="s">
        <v>268</v>
      </c>
      <c r="AP4" t="s">
        <v>257</v>
      </c>
      <c r="AQ4" t="s">
        <v>284</v>
      </c>
      <c r="AR4" t="s">
        <v>262</v>
      </c>
      <c r="AS4">
        <v>1024</v>
      </c>
      <c r="AT4" t="s">
        <v>269</v>
      </c>
      <c r="AU4">
        <v>64</v>
      </c>
      <c r="AV4" t="s">
        <v>257</v>
      </c>
      <c r="AW4">
        <v>64</v>
      </c>
    </row>
    <row r="5" spans="1:76" x14ac:dyDescent="0.3">
      <c r="A5" t="s">
        <v>29</v>
      </c>
      <c r="B5" t="s">
        <v>253</v>
      </c>
      <c r="C5" t="s">
        <v>285</v>
      </c>
      <c r="D5" t="s">
        <v>280</v>
      </c>
      <c r="E5" t="s">
        <v>286</v>
      </c>
      <c r="F5" t="s">
        <v>262</v>
      </c>
      <c r="G5" t="s">
        <v>281</v>
      </c>
      <c r="H5" t="s">
        <v>262</v>
      </c>
      <c r="I5" t="s">
        <v>282</v>
      </c>
      <c r="J5" t="s">
        <v>262</v>
      </c>
      <c r="K5" t="s">
        <v>282</v>
      </c>
      <c r="L5" t="s">
        <v>262</v>
      </c>
      <c r="M5">
        <v>4</v>
      </c>
      <c r="N5" t="s">
        <v>262</v>
      </c>
      <c r="O5" t="s">
        <v>282</v>
      </c>
      <c r="P5" t="s">
        <v>262</v>
      </c>
      <c r="Q5" t="s">
        <v>273</v>
      </c>
      <c r="R5" t="s">
        <v>262</v>
      </c>
      <c r="S5" t="s">
        <v>281</v>
      </c>
      <c r="T5" t="s">
        <v>262</v>
      </c>
      <c r="U5">
        <v>8192</v>
      </c>
      <c r="V5" t="s">
        <v>262</v>
      </c>
      <c r="W5">
        <v>4096</v>
      </c>
      <c r="X5" t="s">
        <v>262</v>
      </c>
      <c r="Y5" t="s">
        <v>264</v>
      </c>
      <c r="Z5" t="s">
        <v>262</v>
      </c>
      <c r="AA5" t="s">
        <v>281</v>
      </c>
      <c r="AB5" t="s">
        <v>262</v>
      </c>
      <c r="AC5" t="s">
        <v>274</v>
      </c>
      <c r="AD5" t="s">
        <v>262</v>
      </c>
      <c r="AE5" t="s">
        <v>275</v>
      </c>
      <c r="AF5" t="s">
        <v>262</v>
      </c>
      <c r="AG5" t="s">
        <v>276</v>
      </c>
      <c r="AH5" t="s">
        <v>262</v>
      </c>
      <c r="AI5" t="s">
        <v>277</v>
      </c>
      <c r="AJ5" t="s">
        <v>262</v>
      </c>
      <c r="AK5" t="s">
        <v>287</v>
      </c>
      <c r="AL5" t="s">
        <v>262</v>
      </c>
      <c r="AM5" t="s">
        <v>282</v>
      </c>
      <c r="AN5" t="s">
        <v>262</v>
      </c>
      <c r="AO5" t="s">
        <v>268</v>
      </c>
      <c r="AP5" t="s">
        <v>262</v>
      </c>
      <c r="AQ5">
        <v>256</v>
      </c>
      <c r="AR5" t="s">
        <v>262</v>
      </c>
      <c r="AS5">
        <v>2048</v>
      </c>
      <c r="AT5" t="s">
        <v>262</v>
      </c>
      <c r="AU5">
        <v>256</v>
      </c>
      <c r="AV5" t="s">
        <v>257</v>
      </c>
      <c r="AW5">
        <v>64</v>
      </c>
    </row>
    <row r="6" spans="1:76" x14ac:dyDescent="0.3">
      <c r="A6" t="s">
        <v>30</v>
      </c>
      <c r="B6" t="s">
        <v>288</v>
      </c>
      <c r="C6" t="s">
        <v>289</v>
      </c>
      <c r="D6" t="s">
        <v>255</v>
      </c>
      <c r="E6" t="s">
        <v>286</v>
      </c>
      <c r="F6" t="s">
        <v>257</v>
      </c>
      <c r="G6">
        <v>4</v>
      </c>
      <c r="H6" t="s">
        <v>257</v>
      </c>
      <c r="I6" t="s">
        <v>284</v>
      </c>
      <c r="J6" t="s">
        <v>257</v>
      </c>
      <c r="K6" t="s">
        <v>259</v>
      </c>
      <c r="L6" t="s">
        <v>262</v>
      </c>
      <c r="M6">
        <v>2</v>
      </c>
      <c r="N6" t="s">
        <v>257</v>
      </c>
      <c r="O6" t="s">
        <v>259</v>
      </c>
      <c r="P6" t="s">
        <v>257</v>
      </c>
      <c r="Q6" t="s">
        <v>290</v>
      </c>
      <c r="R6" t="s">
        <v>262</v>
      </c>
      <c r="S6">
        <v>16</v>
      </c>
      <c r="T6" t="s">
        <v>262</v>
      </c>
      <c r="U6">
        <v>8192</v>
      </c>
      <c r="V6" t="s">
        <v>262</v>
      </c>
      <c r="W6">
        <v>128</v>
      </c>
      <c r="X6" t="s">
        <v>262</v>
      </c>
      <c r="Y6" t="s">
        <v>264</v>
      </c>
      <c r="Z6" t="s">
        <v>262</v>
      </c>
      <c r="AA6" t="s">
        <v>281</v>
      </c>
      <c r="AB6" t="s">
        <v>262</v>
      </c>
      <c r="AC6" t="s">
        <v>274</v>
      </c>
      <c r="AD6" t="s">
        <v>262</v>
      </c>
      <c r="AE6" t="s">
        <v>275</v>
      </c>
      <c r="AF6" t="s">
        <v>262</v>
      </c>
      <c r="AG6" t="s">
        <v>276</v>
      </c>
      <c r="AH6" t="s">
        <v>262</v>
      </c>
      <c r="AI6" t="s">
        <v>277</v>
      </c>
      <c r="AJ6" t="s">
        <v>262</v>
      </c>
      <c r="AK6" t="s">
        <v>287</v>
      </c>
      <c r="AL6" t="s">
        <v>262</v>
      </c>
      <c r="AM6" t="s">
        <v>282</v>
      </c>
      <c r="AN6" t="s">
        <v>257</v>
      </c>
      <c r="AO6" t="s">
        <v>291</v>
      </c>
      <c r="AP6" t="s">
        <v>262</v>
      </c>
      <c r="AQ6">
        <v>256</v>
      </c>
      <c r="AR6" t="s">
        <v>257</v>
      </c>
      <c r="AS6" t="s">
        <v>292</v>
      </c>
      <c r="AT6" t="s">
        <v>262</v>
      </c>
      <c r="AU6" t="s">
        <v>293</v>
      </c>
      <c r="AV6" t="s">
        <v>257</v>
      </c>
      <c r="AW6">
        <v>32</v>
      </c>
    </row>
    <row r="7" spans="1:76" x14ac:dyDescent="0.3">
      <c r="A7" t="s">
        <v>294</v>
      </c>
      <c r="B7" t="s">
        <v>288</v>
      </c>
      <c r="C7" t="s">
        <v>295</v>
      </c>
      <c r="D7" t="s">
        <v>255</v>
      </c>
      <c r="E7" t="s">
        <v>286</v>
      </c>
      <c r="F7" t="s">
        <v>262</v>
      </c>
      <c r="G7" t="s">
        <v>281</v>
      </c>
      <c r="H7" t="s">
        <v>257</v>
      </c>
      <c r="I7">
        <v>4</v>
      </c>
      <c r="J7" t="s">
        <v>262</v>
      </c>
      <c r="K7" t="s">
        <v>282</v>
      </c>
      <c r="L7" t="s">
        <v>262</v>
      </c>
      <c r="M7">
        <v>2</v>
      </c>
      <c r="N7" t="s">
        <v>262</v>
      </c>
      <c r="O7" t="s">
        <v>282</v>
      </c>
      <c r="P7" t="s">
        <v>262</v>
      </c>
      <c r="Q7" t="s">
        <v>273</v>
      </c>
      <c r="R7" t="s">
        <v>262</v>
      </c>
      <c r="S7" t="s">
        <v>281</v>
      </c>
      <c r="T7" t="s">
        <v>262</v>
      </c>
      <c r="U7" t="s">
        <v>296</v>
      </c>
      <c r="V7" t="s">
        <v>262</v>
      </c>
      <c r="W7">
        <v>64</v>
      </c>
      <c r="X7" t="s">
        <v>262</v>
      </c>
      <c r="Y7" t="s">
        <v>264</v>
      </c>
      <c r="Z7" t="s">
        <v>262</v>
      </c>
      <c r="AA7" t="s">
        <v>281</v>
      </c>
      <c r="AB7" t="s">
        <v>262</v>
      </c>
      <c r="AC7" t="s">
        <v>274</v>
      </c>
      <c r="AD7" t="s">
        <v>262</v>
      </c>
      <c r="AE7" t="s">
        <v>275</v>
      </c>
      <c r="AF7" t="s">
        <v>262</v>
      </c>
      <c r="AG7" t="s">
        <v>276</v>
      </c>
      <c r="AH7" t="s">
        <v>262</v>
      </c>
      <c r="AI7" t="s">
        <v>277</v>
      </c>
      <c r="AJ7" t="s">
        <v>262</v>
      </c>
      <c r="AK7" t="s">
        <v>287</v>
      </c>
      <c r="AL7" t="s">
        <v>262</v>
      </c>
      <c r="AM7" t="s">
        <v>282</v>
      </c>
      <c r="AN7" t="s">
        <v>262</v>
      </c>
      <c r="AO7" t="s">
        <v>268</v>
      </c>
      <c r="AP7" t="s">
        <v>262</v>
      </c>
      <c r="AQ7">
        <v>256</v>
      </c>
      <c r="AR7" t="s">
        <v>262</v>
      </c>
      <c r="AS7" t="s">
        <v>297</v>
      </c>
      <c r="AT7" t="s">
        <v>262</v>
      </c>
      <c r="AU7">
        <v>256</v>
      </c>
      <c r="AV7" t="s">
        <v>269</v>
      </c>
      <c r="AW7">
        <v>128</v>
      </c>
    </row>
    <row r="8" spans="1:76" x14ac:dyDescent="0.3">
      <c r="A8" t="s">
        <v>298</v>
      </c>
      <c r="B8" t="s">
        <v>253</v>
      </c>
      <c r="C8" t="s">
        <v>299</v>
      </c>
      <c r="D8" t="s">
        <v>255</v>
      </c>
      <c r="E8" t="s">
        <v>286</v>
      </c>
      <c r="F8" t="s">
        <v>269</v>
      </c>
      <c r="G8">
        <v>32</v>
      </c>
      <c r="H8" t="s">
        <v>257</v>
      </c>
      <c r="I8">
        <v>4</v>
      </c>
      <c r="J8" t="s">
        <v>262</v>
      </c>
      <c r="K8" t="s">
        <v>282</v>
      </c>
      <c r="L8" t="s">
        <v>262</v>
      </c>
      <c r="M8" t="s">
        <v>300</v>
      </c>
      <c r="N8" t="s">
        <v>262</v>
      </c>
      <c r="O8" t="s">
        <v>282</v>
      </c>
      <c r="P8" t="s">
        <v>257</v>
      </c>
      <c r="Q8" t="s">
        <v>301</v>
      </c>
      <c r="R8" t="s">
        <v>262</v>
      </c>
      <c r="S8" t="s">
        <v>281</v>
      </c>
      <c r="T8" t="s">
        <v>262</v>
      </c>
      <c r="U8">
        <v>1024</v>
      </c>
      <c r="V8" t="s">
        <v>262</v>
      </c>
      <c r="W8">
        <v>512</v>
      </c>
      <c r="X8" t="s">
        <v>262</v>
      </c>
      <c r="Y8" t="s">
        <v>264</v>
      </c>
      <c r="Z8" t="s">
        <v>262</v>
      </c>
      <c r="AA8" t="s">
        <v>281</v>
      </c>
      <c r="AB8" t="s">
        <v>262</v>
      </c>
      <c r="AC8" t="s">
        <v>274</v>
      </c>
      <c r="AD8" t="s">
        <v>262</v>
      </c>
      <c r="AE8" t="s">
        <v>275</v>
      </c>
      <c r="AF8" t="s">
        <v>262</v>
      </c>
      <c r="AG8" t="s">
        <v>266</v>
      </c>
      <c r="AH8" t="s">
        <v>262</v>
      </c>
      <c r="AI8" t="s">
        <v>277</v>
      </c>
      <c r="AJ8" t="s">
        <v>262</v>
      </c>
      <c r="AK8" t="s">
        <v>287</v>
      </c>
      <c r="AL8" t="s">
        <v>262</v>
      </c>
      <c r="AM8" t="s">
        <v>282</v>
      </c>
      <c r="AN8" t="s">
        <v>262</v>
      </c>
      <c r="AO8" t="s">
        <v>268</v>
      </c>
      <c r="AP8" t="s">
        <v>262</v>
      </c>
      <c r="AQ8">
        <v>128</v>
      </c>
      <c r="AR8" t="s">
        <v>262</v>
      </c>
      <c r="AS8">
        <v>512</v>
      </c>
      <c r="AT8" t="s">
        <v>262</v>
      </c>
      <c r="AU8">
        <v>256</v>
      </c>
      <c r="AV8" t="s">
        <v>257</v>
      </c>
      <c r="AW8">
        <v>64</v>
      </c>
    </row>
    <row r="9" spans="1:76" x14ac:dyDescent="0.3">
      <c r="A9" t="s">
        <v>302</v>
      </c>
      <c r="B9" t="s">
        <v>288</v>
      </c>
      <c r="C9" t="s">
        <v>303</v>
      </c>
      <c r="D9" t="s">
        <v>280</v>
      </c>
      <c r="E9" t="s">
        <v>286</v>
      </c>
      <c r="F9" t="s">
        <v>257</v>
      </c>
      <c r="G9">
        <v>4</v>
      </c>
      <c r="H9" t="s">
        <v>257</v>
      </c>
      <c r="I9">
        <v>4</v>
      </c>
      <c r="J9" t="s">
        <v>262</v>
      </c>
      <c r="K9" t="s">
        <v>282</v>
      </c>
      <c r="L9" t="s">
        <v>262</v>
      </c>
      <c r="M9" t="s">
        <v>300</v>
      </c>
      <c r="N9" t="s">
        <v>262</v>
      </c>
      <c r="O9" t="s">
        <v>282</v>
      </c>
      <c r="P9" t="s">
        <v>257</v>
      </c>
      <c r="Q9" t="s">
        <v>304</v>
      </c>
      <c r="R9" t="s">
        <v>257</v>
      </c>
      <c r="S9">
        <v>2</v>
      </c>
      <c r="T9" t="s">
        <v>262</v>
      </c>
      <c r="U9" t="s">
        <v>296</v>
      </c>
      <c r="V9" t="s">
        <v>262</v>
      </c>
      <c r="W9">
        <v>512</v>
      </c>
      <c r="X9" t="s">
        <v>262</v>
      </c>
      <c r="Y9" t="s">
        <v>264</v>
      </c>
      <c r="Z9" t="s">
        <v>262</v>
      </c>
      <c r="AA9">
        <v>32</v>
      </c>
      <c r="AB9" t="s">
        <v>262</v>
      </c>
      <c r="AC9" t="s">
        <v>274</v>
      </c>
      <c r="AD9" t="s">
        <v>262</v>
      </c>
      <c r="AE9" t="s">
        <v>275</v>
      </c>
      <c r="AF9" t="s">
        <v>262</v>
      </c>
      <c r="AG9" t="s">
        <v>276</v>
      </c>
      <c r="AH9" t="s">
        <v>262</v>
      </c>
      <c r="AI9" t="s">
        <v>277</v>
      </c>
      <c r="AJ9" t="s">
        <v>262</v>
      </c>
      <c r="AK9" t="s">
        <v>287</v>
      </c>
      <c r="AL9" t="s">
        <v>262</v>
      </c>
      <c r="AM9" t="s">
        <v>282</v>
      </c>
      <c r="AN9" t="s">
        <v>262</v>
      </c>
      <c r="AO9" t="s">
        <v>268</v>
      </c>
      <c r="AP9" t="s">
        <v>262</v>
      </c>
      <c r="AQ9">
        <v>64</v>
      </c>
      <c r="AR9" t="s">
        <v>262</v>
      </c>
      <c r="AS9">
        <v>2048</v>
      </c>
      <c r="AT9" t="s">
        <v>262</v>
      </c>
      <c r="AU9">
        <v>256</v>
      </c>
      <c r="AV9" t="s">
        <v>262</v>
      </c>
      <c r="AW9" t="s">
        <v>305</v>
      </c>
    </row>
    <row r="10" spans="1:76" x14ac:dyDescent="0.3">
      <c r="A10" t="s">
        <v>306</v>
      </c>
      <c r="B10" t="s">
        <v>307</v>
      </c>
      <c r="C10" t="s">
        <v>308</v>
      </c>
      <c r="D10" t="s">
        <v>255</v>
      </c>
      <c r="E10" t="s">
        <v>286</v>
      </c>
      <c r="F10" t="s">
        <v>257</v>
      </c>
      <c r="G10">
        <v>16</v>
      </c>
      <c r="H10" t="s">
        <v>262</v>
      </c>
      <c r="I10" t="s">
        <v>282</v>
      </c>
      <c r="J10" t="s">
        <v>262</v>
      </c>
      <c r="K10" t="s">
        <v>282</v>
      </c>
      <c r="L10" t="s">
        <v>262</v>
      </c>
      <c r="M10" t="s">
        <v>300</v>
      </c>
      <c r="N10" t="s">
        <v>262</v>
      </c>
      <c r="O10" t="s">
        <v>282</v>
      </c>
      <c r="P10" t="s">
        <v>262</v>
      </c>
      <c r="Q10" t="s">
        <v>309</v>
      </c>
      <c r="R10" t="s">
        <v>262</v>
      </c>
      <c r="S10" t="s">
        <v>281</v>
      </c>
      <c r="T10" t="s">
        <v>262</v>
      </c>
      <c r="U10">
        <v>8192</v>
      </c>
      <c r="V10" t="s">
        <v>262</v>
      </c>
      <c r="W10">
        <v>2048</v>
      </c>
      <c r="X10" t="s">
        <v>262</v>
      </c>
      <c r="Y10" t="s">
        <v>264</v>
      </c>
      <c r="Z10" t="s">
        <v>262</v>
      </c>
      <c r="AA10">
        <v>32</v>
      </c>
      <c r="AB10" t="s">
        <v>262</v>
      </c>
      <c r="AC10" t="s">
        <v>274</v>
      </c>
      <c r="AD10" t="s">
        <v>262</v>
      </c>
      <c r="AE10" t="s">
        <v>275</v>
      </c>
      <c r="AF10" t="s">
        <v>262</v>
      </c>
      <c r="AG10" t="s">
        <v>310</v>
      </c>
      <c r="AH10" t="s">
        <v>262</v>
      </c>
      <c r="AI10" t="s">
        <v>277</v>
      </c>
      <c r="AJ10" t="s">
        <v>262</v>
      </c>
      <c r="AK10" t="s">
        <v>287</v>
      </c>
      <c r="AL10" t="s">
        <v>269</v>
      </c>
      <c r="AM10">
        <v>8</v>
      </c>
      <c r="AN10" t="s">
        <v>262</v>
      </c>
      <c r="AO10" t="s">
        <v>268</v>
      </c>
      <c r="AP10" t="s">
        <v>262</v>
      </c>
      <c r="AQ10">
        <v>256</v>
      </c>
      <c r="AR10" t="s">
        <v>262</v>
      </c>
      <c r="AS10">
        <v>2048</v>
      </c>
      <c r="AT10" t="s">
        <v>269</v>
      </c>
      <c r="AU10">
        <v>64</v>
      </c>
      <c r="AV10" t="s">
        <v>257</v>
      </c>
      <c r="AW10">
        <v>32</v>
      </c>
    </row>
    <row r="11" spans="1:76" x14ac:dyDescent="0.3">
      <c r="A11" t="s">
        <v>311</v>
      </c>
      <c r="B11" t="s">
        <v>307</v>
      </c>
      <c r="C11" t="s">
        <v>312</v>
      </c>
      <c r="D11" t="s">
        <v>280</v>
      </c>
      <c r="E11" t="s">
        <v>313</v>
      </c>
      <c r="F11" t="s">
        <v>262</v>
      </c>
      <c r="G11" t="s">
        <v>281</v>
      </c>
      <c r="H11" t="s">
        <v>262</v>
      </c>
      <c r="I11" t="s">
        <v>282</v>
      </c>
      <c r="J11" t="s">
        <v>262</v>
      </c>
      <c r="K11" t="s">
        <v>282</v>
      </c>
      <c r="L11" t="s">
        <v>262</v>
      </c>
      <c r="M11" t="s">
        <v>300</v>
      </c>
      <c r="N11" t="s">
        <v>262</v>
      </c>
      <c r="O11" t="s">
        <v>282</v>
      </c>
      <c r="P11" t="s">
        <v>257</v>
      </c>
      <c r="Q11" t="s">
        <v>314</v>
      </c>
      <c r="R11" t="s">
        <v>262</v>
      </c>
      <c r="S11" t="s">
        <v>281</v>
      </c>
      <c r="T11" t="s">
        <v>262</v>
      </c>
      <c r="U11">
        <v>16384</v>
      </c>
      <c r="V11" t="s">
        <v>262</v>
      </c>
      <c r="W11">
        <v>4096</v>
      </c>
      <c r="X11" t="s">
        <v>262</v>
      </c>
      <c r="Y11" t="s">
        <v>264</v>
      </c>
      <c r="Z11" t="s">
        <v>262</v>
      </c>
      <c r="AA11" t="s">
        <v>281</v>
      </c>
      <c r="AB11" t="s">
        <v>262</v>
      </c>
      <c r="AC11" t="s">
        <v>274</v>
      </c>
      <c r="AD11" t="s">
        <v>262</v>
      </c>
      <c r="AE11" t="s">
        <v>275</v>
      </c>
      <c r="AF11" t="s">
        <v>262</v>
      </c>
      <c r="AG11" t="s">
        <v>276</v>
      </c>
      <c r="AH11" t="s">
        <v>262</v>
      </c>
      <c r="AI11" t="s">
        <v>277</v>
      </c>
      <c r="AJ11" t="s">
        <v>262</v>
      </c>
      <c r="AK11" t="s">
        <v>287</v>
      </c>
      <c r="AL11" t="s">
        <v>262</v>
      </c>
      <c r="AM11" t="s">
        <v>282</v>
      </c>
      <c r="AN11" t="s">
        <v>262</v>
      </c>
      <c r="AO11" t="s">
        <v>268</v>
      </c>
      <c r="AP11" t="s">
        <v>262</v>
      </c>
      <c r="AQ11" t="s">
        <v>315</v>
      </c>
      <c r="AR11" t="s">
        <v>262</v>
      </c>
      <c r="AS11">
        <v>256</v>
      </c>
      <c r="AT11" t="s">
        <v>262</v>
      </c>
      <c r="AU11">
        <v>256</v>
      </c>
      <c r="AV11" t="s">
        <v>257</v>
      </c>
      <c r="AW11">
        <v>64</v>
      </c>
    </row>
    <row r="12" spans="1:76" x14ac:dyDescent="0.3">
      <c r="A12" t="s">
        <v>31</v>
      </c>
      <c r="B12" t="s">
        <v>288</v>
      </c>
      <c r="C12" t="s">
        <v>316</v>
      </c>
      <c r="D12" t="s">
        <v>280</v>
      </c>
      <c r="E12" t="s">
        <v>313</v>
      </c>
      <c r="F12" t="s">
        <v>262</v>
      </c>
      <c r="G12" t="s">
        <v>281</v>
      </c>
      <c r="H12" t="s">
        <v>262</v>
      </c>
      <c r="I12" t="s">
        <v>282</v>
      </c>
      <c r="J12" t="s">
        <v>262</v>
      </c>
      <c r="K12" t="s">
        <v>282</v>
      </c>
      <c r="L12" t="s">
        <v>262</v>
      </c>
      <c r="M12" t="s">
        <v>300</v>
      </c>
      <c r="N12" t="s">
        <v>262</v>
      </c>
      <c r="O12" t="s">
        <v>282</v>
      </c>
      <c r="P12" t="s">
        <v>262</v>
      </c>
      <c r="Q12" t="s">
        <v>273</v>
      </c>
      <c r="R12" t="s">
        <v>262</v>
      </c>
      <c r="S12" t="s">
        <v>281</v>
      </c>
      <c r="T12" t="s">
        <v>262</v>
      </c>
      <c r="U12">
        <v>8192</v>
      </c>
      <c r="V12" t="s">
        <v>262</v>
      </c>
      <c r="W12">
        <v>64</v>
      </c>
      <c r="X12" t="s">
        <v>262</v>
      </c>
      <c r="Y12" t="s">
        <v>264</v>
      </c>
      <c r="Z12" t="s">
        <v>283</v>
      </c>
      <c r="AA12">
        <v>4</v>
      </c>
      <c r="AB12" t="s">
        <v>262</v>
      </c>
      <c r="AC12" t="s">
        <v>274</v>
      </c>
      <c r="AD12" t="s">
        <v>262</v>
      </c>
      <c r="AE12" t="s">
        <v>275</v>
      </c>
      <c r="AF12" t="s">
        <v>262</v>
      </c>
      <c r="AG12" t="s">
        <v>310</v>
      </c>
      <c r="AH12" t="s">
        <v>262</v>
      </c>
      <c r="AI12" t="s">
        <v>277</v>
      </c>
      <c r="AJ12" t="s">
        <v>262</v>
      </c>
      <c r="AK12">
        <v>1</v>
      </c>
      <c r="AL12" t="s">
        <v>257</v>
      </c>
      <c r="AM12">
        <v>2</v>
      </c>
      <c r="AN12" t="s">
        <v>262</v>
      </c>
      <c r="AO12" t="s">
        <v>268</v>
      </c>
      <c r="AP12" t="s">
        <v>269</v>
      </c>
      <c r="AQ12">
        <v>8</v>
      </c>
      <c r="AR12" t="s">
        <v>262</v>
      </c>
      <c r="AS12">
        <v>512</v>
      </c>
      <c r="AT12" t="s">
        <v>257</v>
      </c>
      <c r="AU12">
        <v>32</v>
      </c>
      <c r="AV12" t="s">
        <v>257</v>
      </c>
      <c r="AW12">
        <v>32</v>
      </c>
    </row>
    <row r="13" spans="1:76" x14ac:dyDescent="0.3">
      <c r="A13" t="s">
        <v>317</v>
      </c>
      <c r="B13" t="s">
        <v>288</v>
      </c>
      <c r="C13" t="s">
        <v>271</v>
      </c>
      <c r="D13" t="s">
        <v>280</v>
      </c>
      <c r="E13" t="s">
        <v>313</v>
      </c>
      <c r="F13" t="s">
        <v>262</v>
      </c>
      <c r="G13" t="s">
        <v>281</v>
      </c>
      <c r="H13" t="s">
        <v>262</v>
      </c>
      <c r="I13" t="s">
        <v>282</v>
      </c>
      <c r="J13" t="s">
        <v>262</v>
      </c>
      <c r="K13">
        <v>8</v>
      </c>
      <c r="L13" t="s">
        <v>262</v>
      </c>
      <c r="M13" t="s">
        <v>300</v>
      </c>
      <c r="N13" t="s">
        <v>262</v>
      </c>
      <c r="O13" t="s">
        <v>282</v>
      </c>
      <c r="P13" t="s">
        <v>262</v>
      </c>
      <c r="Q13" t="s">
        <v>273</v>
      </c>
      <c r="R13" t="s">
        <v>262</v>
      </c>
      <c r="S13" t="s">
        <v>281</v>
      </c>
      <c r="T13" t="s">
        <v>262</v>
      </c>
      <c r="U13">
        <v>16384</v>
      </c>
      <c r="V13" t="s">
        <v>262</v>
      </c>
      <c r="W13">
        <v>8192</v>
      </c>
      <c r="X13" t="s">
        <v>262</v>
      </c>
      <c r="Y13" t="s">
        <v>264</v>
      </c>
      <c r="Z13" t="s">
        <v>262</v>
      </c>
      <c r="AA13" t="s">
        <v>281</v>
      </c>
      <c r="AB13" t="s">
        <v>262</v>
      </c>
      <c r="AC13" t="s">
        <v>274</v>
      </c>
      <c r="AD13" t="s">
        <v>262</v>
      </c>
      <c r="AE13" t="s">
        <v>275</v>
      </c>
      <c r="AF13" t="s">
        <v>262</v>
      </c>
      <c r="AG13" t="s">
        <v>276</v>
      </c>
      <c r="AH13" t="s">
        <v>262</v>
      </c>
      <c r="AI13" t="s">
        <v>277</v>
      </c>
      <c r="AJ13" t="s">
        <v>262</v>
      </c>
      <c r="AK13" t="s">
        <v>287</v>
      </c>
      <c r="AL13" t="s">
        <v>262</v>
      </c>
      <c r="AM13" t="s">
        <v>282</v>
      </c>
      <c r="AN13" t="s">
        <v>262</v>
      </c>
      <c r="AO13" t="s">
        <v>268</v>
      </c>
      <c r="AP13" t="s">
        <v>262</v>
      </c>
      <c r="AQ13">
        <v>64</v>
      </c>
      <c r="AR13" t="s">
        <v>262</v>
      </c>
      <c r="AS13">
        <v>512</v>
      </c>
      <c r="AT13" t="s">
        <v>262</v>
      </c>
      <c r="AU13">
        <v>256</v>
      </c>
      <c r="AV13" t="s">
        <v>257</v>
      </c>
      <c r="AW13" t="s">
        <v>292</v>
      </c>
    </row>
    <row r="14" spans="1:76" x14ac:dyDescent="0.3">
      <c r="A14" t="s">
        <v>32</v>
      </c>
      <c r="B14" t="s">
        <v>307</v>
      </c>
      <c r="C14" t="s">
        <v>318</v>
      </c>
      <c r="D14" t="s">
        <v>255</v>
      </c>
      <c r="E14" t="s">
        <v>313</v>
      </c>
      <c r="F14" t="s">
        <v>262</v>
      </c>
      <c r="G14" t="s">
        <v>281</v>
      </c>
      <c r="H14" t="s">
        <v>262</v>
      </c>
      <c r="I14" t="s">
        <v>282</v>
      </c>
      <c r="J14" t="s">
        <v>262</v>
      </c>
      <c r="K14" t="s">
        <v>282</v>
      </c>
      <c r="L14" t="s">
        <v>262</v>
      </c>
      <c r="M14" t="s">
        <v>300</v>
      </c>
      <c r="N14" t="s">
        <v>262</v>
      </c>
      <c r="O14" t="s">
        <v>282</v>
      </c>
      <c r="P14" t="s">
        <v>262</v>
      </c>
      <c r="Q14" t="s">
        <v>273</v>
      </c>
      <c r="R14" t="s">
        <v>262</v>
      </c>
      <c r="S14" t="s">
        <v>281</v>
      </c>
      <c r="T14" t="s">
        <v>262</v>
      </c>
      <c r="U14">
        <v>16384</v>
      </c>
      <c r="V14" t="s">
        <v>262</v>
      </c>
      <c r="W14" t="s">
        <v>319</v>
      </c>
      <c r="X14" t="s">
        <v>262</v>
      </c>
      <c r="Y14" t="s">
        <v>264</v>
      </c>
      <c r="Z14" t="s">
        <v>262</v>
      </c>
      <c r="AA14" t="s">
        <v>281</v>
      </c>
      <c r="AB14" t="s">
        <v>262</v>
      </c>
      <c r="AC14" t="s">
        <v>274</v>
      </c>
      <c r="AD14" t="s">
        <v>262</v>
      </c>
      <c r="AE14" t="s">
        <v>275</v>
      </c>
      <c r="AF14" t="s">
        <v>262</v>
      </c>
      <c r="AG14" t="s">
        <v>276</v>
      </c>
      <c r="AH14" t="s">
        <v>262</v>
      </c>
      <c r="AI14" t="s">
        <v>277</v>
      </c>
      <c r="AJ14" t="s">
        <v>262</v>
      </c>
      <c r="AK14" t="s">
        <v>287</v>
      </c>
      <c r="AL14" t="s">
        <v>262</v>
      </c>
      <c r="AM14" t="s">
        <v>282</v>
      </c>
      <c r="AN14" t="s">
        <v>262</v>
      </c>
      <c r="AO14" t="s">
        <v>268</v>
      </c>
      <c r="AP14" t="s">
        <v>262</v>
      </c>
      <c r="AQ14">
        <v>32</v>
      </c>
      <c r="AR14" t="s">
        <v>262</v>
      </c>
      <c r="AS14">
        <v>256</v>
      </c>
      <c r="AT14" t="s">
        <v>262</v>
      </c>
      <c r="AU14">
        <v>256</v>
      </c>
      <c r="AV14" t="s">
        <v>257</v>
      </c>
      <c r="AW14" t="s">
        <v>292</v>
      </c>
    </row>
    <row r="15" spans="1:76" x14ac:dyDescent="0.3">
      <c r="A15" t="s">
        <v>33</v>
      </c>
      <c r="B15" t="s">
        <v>307</v>
      </c>
      <c r="C15" t="s">
        <v>316</v>
      </c>
      <c r="D15" t="s">
        <v>255</v>
      </c>
      <c r="E15" t="s">
        <v>313</v>
      </c>
      <c r="F15" t="s">
        <v>257</v>
      </c>
      <c r="G15">
        <v>4</v>
      </c>
      <c r="H15" t="s">
        <v>257</v>
      </c>
      <c r="I15" t="s">
        <v>284</v>
      </c>
      <c r="J15" t="s">
        <v>257</v>
      </c>
      <c r="K15">
        <v>1</v>
      </c>
      <c r="L15" t="s">
        <v>262</v>
      </c>
      <c r="M15">
        <v>4</v>
      </c>
      <c r="N15" t="s">
        <v>257</v>
      </c>
      <c r="O15" t="s">
        <v>259</v>
      </c>
      <c r="P15" t="s">
        <v>257</v>
      </c>
      <c r="Q15" t="s">
        <v>290</v>
      </c>
      <c r="R15" t="s">
        <v>262</v>
      </c>
      <c r="S15" t="s">
        <v>281</v>
      </c>
      <c r="T15" t="s">
        <v>262</v>
      </c>
      <c r="U15">
        <v>16384</v>
      </c>
      <c r="V15" t="s">
        <v>262</v>
      </c>
      <c r="W15">
        <v>256</v>
      </c>
      <c r="X15" t="s">
        <v>262</v>
      </c>
      <c r="Y15" t="s">
        <v>264</v>
      </c>
      <c r="Z15" t="s">
        <v>262</v>
      </c>
      <c r="AA15" t="s">
        <v>281</v>
      </c>
      <c r="AB15" t="s">
        <v>262</v>
      </c>
      <c r="AC15" t="s">
        <v>274</v>
      </c>
      <c r="AD15" t="s">
        <v>262</v>
      </c>
      <c r="AE15" t="s">
        <v>275</v>
      </c>
      <c r="AF15" t="s">
        <v>262</v>
      </c>
      <c r="AG15" t="s">
        <v>310</v>
      </c>
      <c r="AH15" t="s">
        <v>262</v>
      </c>
      <c r="AI15" t="s">
        <v>277</v>
      </c>
      <c r="AJ15" t="s">
        <v>262</v>
      </c>
      <c r="AK15" t="s">
        <v>287</v>
      </c>
      <c r="AL15" t="s">
        <v>262</v>
      </c>
      <c r="AM15" t="s">
        <v>282</v>
      </c>
      <c r="AN15" t="s">
        <v>262</v>
      </c>
      <c r="AO15" t="s">
        <v>268</v>
      </c>
      <c r="AP15" t="s">
        <v>262</v>
      </c>
      <c r="AQ15">
        <v>32</v>
      </c>
      <c r="AR15" t="s">
        <v>262</v>
      </c>
      <c r="AS15">
        <v>512</v>
      </c>
      <c r="AT15" t="s">
        <v>262</v>
      </c>
      <c r="AU15" t="s">
        <v>293</v>
      </c>
      <c r="AV15" t="s">
        <v>257</v>
      </c>
      <c r="AW15">
        <v>32</v>
      </c>
    </row>
    <row r="16" spans="1:76" x14ac:dyDescent="0.3">
      <c r="A16" t="s">
        <v>320</v>
      </c>
      <c r="B16" t="s">
        <v>288</v>
      </c>
      <c r="C16" t="s">
        <v>321</v>
      </c>
      <c r="D16" t="s">
        <v>255</v>
      </c>
      <c r="E16" t="s">
        <v>322</v>
      </c>
      <c r="F16" t="s">
        <v>257</v>
      </c>
      <c r="G16">
        <v>8</v>
      </c>
      <c r="H16" t="s">
        <v>257</v>
      </c>
      <c r="I16" t="s">
        <v>284</v>
      </c>
      <c r="J16" t="s">
        <v>262</v>
      </c>
      <c r="K16" t="s">
        <v>282</v>
      </c>
      <c r="L16" t="s">
        <v>262</v>
      </c>
      <c r="M16" t="s">
        <v>300</v>
      </c>
      <c r="N16" t="s">
        <v>257</v>
      </c>
      <c r="O16" t="s">
        <v>259</v>
      </c>
      <c r="P16" t="s">
        <v>262</v>
      </c>
      <c r="Q16" t="s">
        <v>273</v>
      </c>
      <c r="R16" t="s">
        <v>262</v>
      </c>
      <c r="S16" t="s">
        <v>281</v>
      </c>
      <c r="T16" t="s">
        <v>262</v>
      </c>
      <c r="U16" t="s">
        <v>296</v>
      </c>
      <c r="V16" t="s">
        <v>262</v>
      </c>
      <c r="W16">
        <v>256</v>
      </c>
      <c r="X16" t="s">
        <v>262</v>
      </c>
      <c r="Y16" t="s">
        <v>264</v>
      </c>
      <c r="Z16" t="s">
        <v>262</v>
      </c>
      <c r="AA16" t="s">
        <v>281</v>
      </c>
      <c r="AB16" t="s">
        <v>262</v>
      </c>
      <c r="AC16" t="s">
        <v>274</v>
      </c>
      <c r="AD16" t="s">
        <v>262</v>
      </c>
      <c r="AE16" t="s">
        <v>275</v>
      </c>
      <c r="AF16" t="s">
        <v>262</v>
      </c>
      <c r="AG16" t="s">
        <v>310</v>
      </c>
      <c r="AH16" t="s">
        <v>262</v>
      </c>
      <c r="AI16" t="s">
        <v>277</v>
      </c>
      <c r="AJ16" t="s">
        <v>262</v>
      </c>
      <c r="AK16" t="s">
        <v>287</v>
      </c>
      <c r="AL16" t="s">
        <v>262</v>
      </c>
      <c r="AM16" t="s">
        <v>282</v>
      </c>
      <c r="AN16" t="s">
        <v>262</v>
      </c>
      <c r="AO16" t="s">
        <v>268</v>
      </c>
      <c r="AP16" t="s">
        <v>262</v>
      </c>
      <c r="AQ16">
        <v>128</v>
      </c>
      <c r="AR16" t="s">
        <v>262</v>
      </c>
      <c r="AS16">
        <v>1024</v>
      </c>
      <c r="AT16" t="s">
        <v>262</v>
      </c>
      <c r="AU16" t="s">
        <v>293</v>
      </c>
      <c r="AV16" t="s">
        <v>257</v>
      </c>
      <c r="AW16" t="s">
        <v>292</v>
      </c>
    </row>
    <row r="17" spans="1:49" x14ac:dyDescent="0.3">
      <c r="A17" t="s">
        <v>323</v>
      </c>
      <c r="B17" t="s">
        <v>307</v>
      </c>
      <c r="C17" t="s">
        <v>324</v>
      </c>
      <c r="D17" t="s">
        <v>280</v>
      </c>
      <c r="E17" t="s">
        <v>322</v>
      </c>
      <c r="F17" t="s">
        <v>257</v>
      </c>
      <c r="G17" t="s">
        <v>258</v>
      </c>
      <c r="H17" t="s">
        <v>257</v>
      </c>
      <c r="I17" t="s">
        <v>284</v>
      </c>
      <c r="J17" t="s">
        <v>262</v>
      </c>
      <c r="K17" t="s">
        <v>282</v>
      </c>
      <c r="L17" t="s">
        <v>262</v>
      </c>
      <c r="M17">
        <v>4</v>
      </c>
      <c r="N17" t="s">
        <v>262</v>
      </c>
      <c r="O17" t="s">
        <v>282</v>
      </c>
      <c r="P17" t="s">
        <v>262</v>
      </c>
      <c r="Q17" t="s">
        <v>273</v>
      </c>
      <c r="R17" t="s">
        <v>262</v>
      </c>
      <c r="S17" t="s">
        <v>281</v>
      </c>
      <c r="T17" t="s">
        <v>262</v>
      </c>
      <c r="U17">
        <v>512</v>
      </c>
      <c r="V17" t="s">
        <v>262</v>
      </c>
      <c r="W17">
        <v>512</v>
      </c>
      <c r="X17" t="s">
        <v>262</v>
      </c>
      <c r="Y17" t="s">
        <v>264</v>
      </c>
      <c r="Z17" t="s">
        <v>257</v>
      </c>
      <c r="AA17">
        <v>2</v>
      </c>
      <c r="AB17" t="s">
        <v>262</v>
      </c>
      <c r="AC17" t="s">
        <v>274</v>
      </c>
      <c r="AD17" t="s">
        <v>262</v>
      </c>
      <c r="AE17" t="s">
        <v>275</v>
      </c>
      <c r="AF17" t="s">
        <v>262</v>
      </c>
      <c r="AG17" t="s">
        <v>310</v>
      </c>
      <c r="AH17" t="s">
        <v>262</v>
      </c>
      <c r="AI17" t="s">
        <v>277</v>
      </c>
      <c r="AJ17" t="s">
        <v>262</v>
      </c>
      <c r="AK17" t="s">
        <v>287</v>
      </c>
      <c r="AL17" t="s">
        <v>262</v>
      </c>
      <c r="AM17" t="s">
        <v>282</v>
      </c>
      <c r="AN17" t="s">
        <v>262</v>
      </c>
      <c r="AO17" t="s">
        <v>268</v>
      </c>
      <c r="AP17" t="s">
        <v>262</v>
      </c>
      <c r="AQ17">
        <v>128</v>
      </c>
      <c r="AR17" t="s">
        <v>262</v>
      </c>
      <c r="AS17">
        <v>512</v>
      </c>
      <c r="AT17" t="s">
        <v>262</v>
      </c>
      <c r="AU17">
        <v>128</v>
      </c>
      <c r="AV17" t="s">
        <v>257</v>
      </c>
      <c r="AW17" t="s">
        <v>292</v>
      </c>
    </row>
    <row r="18" spans="1:49" x14ac:dyDescent="0.3">
      <c r="A18" t="s">
        <v>34</v>
      </c>
      <c r="B18" t="s">
        <v>307</v>
      </c>
      <c r="C18" t="s">
        <v>325</v>
      </c>
      <c r="D18" t="s">
        <v>280</v>
      </c>
      <c r="E18" t="s">
        <v>322</v>
      </c>
      <c r="F18" t="s">
        <v>257</v>
      </c>
      <c r="G18" t="s">
        <v>258</v>
      </c>
      <c r="H18" t="s">
        <v>257</v>
      </c>
      <c r="I18" t="s">
        <v>284</v>
      </c>
      <c r="J18" t="s">
        <v>257</v>
      </c>
      <c r="K18" t="s">
        <v>259</v>
      </c>
      <c r="L18" t="s">
        <v>257</v>
      </c>
      <c r="M18" t="s">
        <v>260</v>
      </c>
      <c r="N18" t="s">
        <v>257</v>
      </c>
      <c r="O18" t="s">
        <v>260</v>
      </c>
      <c r="P18" t="s">
        <v>257</v>
      </c>
      <c r="Q18" t="s">
        <v>326</v>
      </c>
      <c r="R18" t="s">
        <v>257</v>
      </c>
      <c r="S18" t="s">
        <v>284</v>
      </c>
      <c r="T18" t="s">
        <v>262</v>
      </c>
      <c r="U18">
        <v>512</v>
      </c>
      <c r="V18" t="s">
        <v>262</v>
      </c>
      <c r="W18">
        <v>128</v>
      </c>
      <c r="X18" t="s">
        <v>257</v>
      </c>
      <c r="Y18" t="s">
        <v>284</v>
      </c>
      <c r="Z18" t="s">
        <v>257</v>
      </c>
      <c r="AA18" t="s">
        <v>284</v>
      </c>
      <c r="AB18" t="s">
        <v>257</v>
      </c>
      <c r="AC18">
        <v>8</v>
      </c>
      <c r="AD18" t="s">
        <v>257</v>
      </c>
      <c r="AE18" t="s">
        <v>327</v>
      </c>
      <c r="AF18" t="s">
        <v>257</v>
      </c>
      <c r="AG18" t="s">
        <v>328</v>
      </c>
      <c r="AH18" t="s">
        <v>257</v>
      </c>
      <c r="AI18" t="s">
        <v>329</v>
      </c>
      <c r="AJ18" t="s">
        <v>257</v>
      </c>
      <c r="AK18" t="s">
        <v>259</v>
      </c>
      <c r="AL18" t="s">
        <v>257</v>
      </c>
      <c r="AM18" t="s">
        <v>260</v>
      </c>
      <c r="AN18" t="s">
        <v>257</v>
      </c>
      <c r="AO18" t="s">
        <v>330</v>
      </c>
      <c r="AP18" t="s">
        <v>262</v>
      </c>
      <c r="AQ18">
        <v>16</v>
      </c>
      <c r="AR18" t="s">
        <v>262</v>
      </c>
      <c r="AS18">
        <v>128</v>
      </c>
      <c r="AT18" t="s">
        <v>257</v>
      </c>
      <c r="AU18">
        <v>32</v>
      </c>
      <c r="AV18" t="s">
        <v>269</v>
      </c>
      <c r="AW18">
        <v>128</v>
      </c>
    </row>
    <row r="19" spans="1:49" x14ac:dyDescent="0.3">
      <c r="A19" t="s">
        <v>331</v>
      </c>
      <c r="B19" t="s">
        <v>332</v>
      </c>
      <c r="C19" t="s">
        <v>312</v>
      </c>
      <c r="D19" t="s">
        <v>280</v>
      </c>
      <c r="E19" t="s">
        <v>322</v>
      </c>
      <c r="F19" t="s">
        <v>262</v>
      </c>
      <c r="G19" t="s">
        <v>281</v>
      </c>
      <c r="H19" t="s">
        <v>269</v>
      </c>
      <c r="I19">
        <v>8</v>
      </c>
      <c r="J19" t="s">
        <v>262</v>
      </c>
      <c r="K19" t="s">
        <v>282</v>
      </c>
      <c r="L19" t="s">
        <v>262</v>
      </c>
      <c r="M19" t="s">
        <v>300</v>
      </c>
      <c r="N19" t="s">
        <v>262</v>
      </c>
      <c r="O19" t="s">
        <v>282</v>
      </c>
      <c r="P19" t="s">
        <v>262</v>
      </c>
      <c r="Q19" t="s">
        <v>273</v>
      </c>
      <c r="R19" t="s">
        <v>262</v>
      </c>
      <c r="S19" t="s">
        <v>281</v>
      </c>
      <c r="T19" t="s">
        <v>262</v>
      </c>
      <c r="U19">
        <v>16384</v>
      </c>
      <c r="V19" t="s">
        <v>262</v>
      </c>
      <c r="W19">
        <v>1024</v>
      </c>
      <c r="X19" t="s">
        <v>262</v>
      </c>
      <c r="Y19" t="s">
        <v>264</v>
      </c>
      <c r="Z19" t="s">
        <v>262</v>
      </c>
      <c r="AA19" t="s">
        <v>281</v>
      </c>
      <c r="AB19" t="s">
        <v>262</v>
      </c>
      <c r="AC19" t="s">
        <v>274</v>
      </c>
      <c r="AD19" t="s">
        <v>262</v>
      </c>
      <c r="AE19" t="s">
        <v>275</v>
      </c>
      <c r="AF19" t="s">
        <v>262</v>
      </c>
      <c r="AG19" t="s">
        <v>310</v>
      </c>
      <c r="AH19" t="s">
        <v>262</v>
      </c>
      <c r="AI19" t="s">
        <v>277</v>
      </c>
      <c r="AJ19" t="s">
        <v>262</v>
      </c>
      <c r="AK19" t="s">
        <v>287</v>
      </c>
      <c r="AL19" t="s">
        <v>262</v>
      </c>
      <c r="AM19" t="s">
        <v>282</v>
      </c>
      <c r="AN19" t="s">
        <v>262</v>
      </c>
      <c r="AO19" t="s">
        <v>268</v>
      </c>
      <c r="AP19" t="s">
        <v>262</v>
      </c>
      <c r="AQ19">
        <v>64</v>
      </c>
      <c r="AR19" t="s">
        <v>262</v>
      </c>
      <c r="AS19" t="s">
        <v>297</v>
      </c>
      <c r="AT19" t="s">
        <v>262</v>
      </c>
      <c r="AU19">
        <v>256</v>
      </c>
      <c r="AV19" t="s">
        <v>269</v>
      </c>
      <c r="AW19">
        <v>128</v>
      </c>
    </row>
    <row r="20" spans="1:49" x14ac:dyDescent="0.3">
      <c r="A20" t="s">
        <v>333</v>
      </c>
      <c r="B20" t="s">
        <v>332</v>
      </c>
      <c r="C20" t="s">
        <v>334</v>
      </c>
      <c r="D20" t="s">
        <v>255</v>
      </c>
      <c r="E20" t="s">
        <v>322</v>
      </c>
      <c r="F20" t="s">
        <v>262</v>
      </c>
      <c r="G20" t="s">
        <v>281</v>
      </c>
      <c r="H20" t="s">
        <v>262</v>
      </c>
      <c r="I20" t="s">
        <v>282</v>
      </c>
      <c r="J20" t="s">
        <v>262</v>
      </c>
      <c r="K20" t="s">
        <v>282</v>
      </c>
      <c r="L20" t="s">
        <v>262</v>
      </c>
      <c r="M20" t="s">
        <v>300</v>
      </c>
      <c r="N20" t="s">
        <v>262</v>
      </c>
      <c r="O20" t="s">
        <v>282</v>
      </c>
      <c r="P20" t="s">
        <v>262</v>
      </c>
      <c r="Q20" t="s">
        <v>273</v>
      </c>
      <c r="R20" t="s">
        <v>262</v>
      </c>
      <c r="S20" t="s">
        <v>281</v>
      </c>
      <c r="T20" t="s">
        <v>262</v>
      </c>
      <c r="U20">
        <v>16384</v>
      </c>
      <c r="V20" t="s">
        <v>262</v>
      </c>
      <c r="W20" t="s">
        <v>319</v>
      </c>
      <c r="X20" t="s">
        <v>262</v>
      </c>
      <c r="Y20" t="s">
        <v>264</v>
      </c>
      <c r="Z20" t="s">
        <v>262</v>
      </c>
      <c r="AA20">
        <v>32</v>
      </c>
      <c r="AB20" t="s">
        <v>262</v>
      </c>
      <c r="AC20" t="s">
        <v>274</v>
      </c>
      <c r="AD20" t="s">
        <v>262</v>
      </c>
      <c r="AE20" t="s">
        <v>275</v>
      </c>
      <c r="AF20" t="s">
        <v>262</v>
      </c>
      <c r="AG20" t="s">
        <v>310</v>
      </c>
      <c r="AH20" t="s">
        <v>262</v>
      </c>
      <c r="AI20" t="s">
        <v>277</v>
      </c>
      <c r="AJ20" t="s">
        <v>262</v>
      </c>
      <c r="AK20" t="s">
        <v>287</v>
      </c>
      <c r="AL20" t="s">
        <v>262</v>
      </c>
      <c r="AM20" t="s">
        <v>282</v>
      </c>
      <c r="AN20" t="s">
        <v>262</v>
      </c>
      <c r="AO20" t="s">
        <v>268</v>
      </c>
      <c r="AP20" t="s">
        <v>262</v>
      </c>
      <c r="AQ20">
        <v>256</v>
      </c>
      <c r="AR20" t="s">
        <v>262</v>
      </c>
      <c r="AS20">
        <v>2048</v>
      </c>
      <c r="AT20" t="s">
        <v>262</v>
      </c>
      <c r="AU20">
        <v>128</v>
      </c>
      <c r="AV20" t="s">
        <v>257</v>
      </c>
      <c r="AW20" t="s">
        <v>292</v>
      </c>
    </row>
    <row r="21" spans="1:49" x14ac:dyDescent="0.3">
      <c r="A21">
        <v>2021</v>
      </c>
    </row>
    <row r="22" spans="1:49" x14ac:dyDescent="0.3">
      <c r="A22" t="s">
        <v>335</v>
      </c>
      <c r="B22" t="s">
        <v>253</v>
      </c>
      <c r="C22" t="s">
        <v>336</v>
      </c>
      <c r="D22" t="s">
        <v>255</v>
      </c>
      <c r="E22" t="s">
        <v>337</v>
      </c>
      <c r="F22" t="s">
        <v>257</v>
      </c>
      <c r="G22" t="s">
        <v>258</v>
      </c>
      <c r="H22" t="s">
        <v>257</v>
      </c>
      <c r="I22">
        <v>4</v>
      </c>
      <c r="J22" t="s">
        <v>262</v>
      </c>
      <c r="K22" t="s">
        <v>282</v>
      </c>
      <c r="L22" t="s">
        <v>262</v>
      </c>
      <c r="M22" t="s">
        <v>300</v>
      </c>
      <c r="N22" t="s">
        <v>262</v>
      </c>
      <c r="O22" t="s">
        <v>282</v>
      </c>
      <c r="P22" t="s">
        <v>262</v>
      </c>
      <c r="Q22" t="s">
        <v>273</v>
      </c>
      <c r="R22" t="s">
        <v>262</v>
      </c>
      <c r="S22" t="s">
        <v>281</v>
      </c>
      <c r="T22" t="s">
        <v>262</v>
      </c>
      <c r="U22">
        <v>8192</v>
      </c>
      <c r="V22" t="s">
        <v>262</v>
      </c>
      <c r="W22">
        <v>1024</v>
      </c>
      <c r="X22" t="s">
        <v>262</v>
      </c>
      <c r="Y22" t="s">
        <v>264</v>
      </c>
      <c r="Z22" t="s">
        <v>262</v>
      </c>
      <c r="AA22" t="s">
        <v>281</v>
      </c>
      <c r="AB22" t="s">
        <v>262</v>
      </c>
      <c r="AC22" t="s">
        <v>274</v>
      </c>
      <c r="AD22" t="s">
        <v>262</v>
      </c>
      <c r="AE22" t="s">
        <v>275</v>
      </c>
      <c r="AF22" t="s">
        <v>262</v>
      </c>
      <c r="AG22" t="s">
        <v>310</v>
      </c>
      <c r="AH22" t="s">
        <v>262</v>
      </c>
      <c r="AI22" t="s">
        <v>277</v>
      </c>
      <c r="AJ22" t="s">
        <v>262</v>
      </c>
      <c r="AK22" t="s">
        <v>287</v>
      </c>
      <c r="AL22" t="s">
        <v>262</v>
      </c>
      <c r="AM22" t="s">
        <v>282</v>
      </c>
      <c r="AN22" t="s">
        <v>262</v>
      </c>
      <c r="AO22" t="s">
        <v>268</v>
      </c>
      <c r="AP22" t="s">
        <v>262</v>
      </c>
      <c r="AQ22">
        <v>32</v>
      </c>
      <c r="AR22" t="s">
        <v>262</v>
      </c>
      <c r="AS22">
        <v>512</v>
      </c>
      <c r="AT22" t="s">
        <v>262</v>
      </c>
      <c r="AU22">
        <v>256</v>
      </c>
      <c r="AV22" t="s">
        <v>257</v>
      </c>
      <c r="AW22" t="s">
        <v>292</v>
      </c>
    </row>
    <row r="23" spans="1:49" x14ac:dyDescent="0.3">
      <c r="A23" t="s">
        <v>338</v>
      </c>
      <c r="B23" t="s">
        <v>253</v>
      </c>
      <c r="C23" t="s">
        <v>339</v>
      </c>
      <c r="D23" t="s">
        <v>280</v>
      </c>
      <c r="E23" t="s">
        <v>337</v>
      </c>
      <c r="F23" t="s">
        <v>262</v>
      </c>
      <c r="G23" t="s">
        <v>281</v>
      </c>
      <c r="H23" t="s">
        <v>257</v>
      </c>
      <c r="I23">
        <v>4</v>
      </c>
      <c r="J23" t="s">
        <v>262</v>
      </c>
      <c r="K23" t="s">
        <v>282</v>
      </c>
      <c r="L23" t="s">
        <v>262</v>
      </c>
      <c r="M23">
        <v>4</v>
      </c>
      <c r="N23" t="s">
        <v>262</v>
      </c>
      <c r="O23" t="s">
        <v>282</v>
      </c>
      <c r="P23" t="s">
        <v>262</v>
      </c>
      <c r="Q23" t="s">
        <v>273</v>
      </c>
      <c r="R23" t="s">
        <v>262</v>
      </c>
      <c r="S23" t="s">
        <v>281</v>
      </c>
      <c r="T23" t="s">
        <v>262</v>
      </c>
      <c r="U23">
        <v>8192</v>
      </c>
      <c r="V23" t="s">
        <v>262</v>
      </c>
      <c r="W23">
        <v>4096</v>
      </c>
      <c r="X23" t="s">
        <v>262</v>
      </c>
      <c r="Y23" t="s">
        <v>264</v>
      </c>
      <c r="Z23" t="s">
        <v>283</v>
      </c>
      <c r="AA23">
        <v>8</v>
      </c>
      <c r="AB23" t="s">
        <v>262</v>
      </c>
      <c r="AC23" t="s">
        <v>274</v>
      </c>
      <c r="AD23" t="s">
        <v>262</v>
      </c>
      <c r="AE23" t="s">
        <v>275</v>
      </c>
      <c r="AF23" t="s">
        <v>262</v>
      </c>
      <c r="AG23" t="s">
        <v>266</v>
      </c>
      <c r="AH23" t="s">
        <v>262</v>
      </c>
      <c r="AI23" t="s">
        <v>277</v>
      </c>
      <c r="AJ23" t="s">
        <v>262</v>
      </c>
      <c r="AK23" t="s">
        <v>287</v>
      </c>
      <c r="AL23" t="s">
        <v>262</v>
      </c>
      <c r="AM23" t="s">
        <v>282</v>
      </c>
      <c r="AN23" t="s">
        <v>262</v>
      </c>
      <c r="AO23" t="s">
        <v>268</v>
      </c>
      <c r="AP23" t="s">
        <v>269</v>
      </c>
      <c r="AQ23">
        <v>8</v>
      </c>
      <c r="AR23" t="s">
        <v>262</v>
      </c>
      <c r="AS23">
        <v>512</v>
      </c>
      <c r="AT23" t="s">
        <v>257</v>
      </c>
      <c r="AU23">
        <v>32</v>
      </c>
      <c r="AV23" t="s">
        <v>257</v>
      </c>
      <c r="AW23" t="s">
        <v>292</v>
      </c>
    </row>
    <row r="24" spans="1:49" x14ac:dyDescent="0.3">
      <c r="A24" t="s">
        <v>340</v>
      </c>
      <c r="B24" t="s">
        <v>288</v>
      </c>
      <c r="C24" t="s">
        <v>341</v>
      </c>
      <c r="D24" t="s">
        <v>280</v>
      </c>
      <c r="E24" t="s">
        <v>337</v>
      </c>
      <c r="F24" t="s">
        <v>262</v>
      </c>
      <c r="G24" t="s">
        <v>281</v>
      </c>
      <c r="H24" t="s">
        <v>262</v>
      </c>
      <c r="I24" t="s">
        <v>282</v>
      </c>
      <c r="J24" t="s">
        <v>262</v>
      </c>
      <c r="K24" t="s">
        <v>282</v>
      </c>
      <c r="L24" t="s">
        <v>262</v>
      </c>
      <c r="M24" t="s">
        <v>300</v>
      </c>
      <c r="N24" t="s">
        <v>262</v>
      </c>
      <c r="O24" t="s">
        <v>282</v>
      </c>
      <c r="P24" t="s">
        <v>262</v>
      </c>
      <c r="Q24" t="s">
        <v>273</v>
      </c>
      <c r="R24" t="s">
        <v>262</v>
      </c>
      <c r="S24" t="s">
        <v>281</v>
      </c>
      <c r="T24" t="s">
        <v>262</v>
      </c>
      <c r="U24">
        <v>8192</v>
      </c>
      <c r="V24" t="s">
        <v>262</v>
      </c>
      <c r="W24">
        <v>4096</v>
      </c>
      <c r="X24" t="s">
        <v>262</v>
      </c>
      <c r="Y24" t="s">
        <v>264</v>
      </c>
      <c r="Z24" t="s">
        <v>262</v>
      </c>
      <c r="AA24">
        <v>32</v>
      </c>
      <c r="AB24" t="s">
        <v>262</v>
      </c>
      <c r="AC24" t="s">
        <v>274</v>
      </c>
      <c r="AD24" t="s">
        <v>262</v>
      </c>
      <c r="AE24" t="s">
        <v>275</v>
      </c>
      <c r="AF24" t="s">
        <v>262</v>
      </c>
      <c r="AG24" t="s">
        <v>266</v>
      </c>
      <c r="AH24" t="s">
        <v>262</v>
      </c>
      <c r="AI24" t="s">
        <v>277</v>
      </c>
      <c r="AJ24" t="s">
        <v>262</v>
      </c>
      <c r="AK24" t="s">
        <v>287</v>
      </c>
      <c r="AL24" t="s">
        <v>262</v>
      </c>
      <c r="AM24" t="s">
        <v>282</v>
      </c>
      <c r="AN24" t="s">
        <v>262</v>
      </c>
      <c r="AO24" t="s">
        <v>268</v>
      </c>
      <c r="AP24" t="s">
        <v>257</v>
      </c>
      <c r="AQ24">
        <v>4</v>
      </c>
      <c r="AR24" t="s">
        <v>262</v>
      </c>
      <c r="AS24" t="s">
        <v>297</v>
      </c>
      <c r="AT24" t="s">
        <v>269</v>
      </c>
      <c r="AU24">
        <v>64</v>
      </c>
      <c r="AV24" t="s">
        <v>257</v>
      </c>
      <c r="AW24" t="s">
        <v>292</v>
      </c>
    </row>
    <row r="25" spans="1:49" x14ac:dyDescent="0.3">
      <c r="A25" t="s">
        <v>35</v>
      </c>
      <c r="B25" t="s">
        <v>253</v>
      </c>
      <c r="C25" t="s">
        <v>342</v>
      </c>
      <c r="D25" t="s">
        <v>255</v>
      </c>
      <c r="E25" t="s">
        <v>337</v>
      </c>
      <c r="F25" t="s">
        <v>262</v>
      </c>
      <c r="G25" t="s">
        <v>281</v>
      </c>
      <c r="H25" t="s">
        <v>262</v>
      </c>
      <c r="I25" t="s">
        <v>282</v>
      </c>
      <c r="J25" t="s">
        <v>262</v>
      </c>
      <c r="K25" t="s">
        <v>282</v>
      </c>
      <c r="L25" t="s">
        <v>262</v>
      </c>
      <c r="M25" t="s">
        <v>300</v>
      </c>
      <c r="N25" t="s">
        <v>262</v>
      </c>
      <c r="O25" t="s">
        <v>282</v>
      </c>
      <c r="P25" t="s">
        <v>262</v>
      </c>
      <c r="Q25" t="s">
        <v>273</v>
      </c>
      <c r="R25" t="s">
        <v>262</v>
      </c>
      <c r="S25" t="s">
        <v>281</v>
      </c>
      <c r="T25" t="s">
        <v>262</v>
      </c>
      <c r="U25">
        <v>4096</v>
      </c>
      <c r="V25" t="s">
        <v>262</v>
      </c>
      <c r="W25">
        <v>8192</v>
      </c>
      <c r="X25" t="s">
        <v>262</v>
      </c>
      <c r="Y25" t="s">
        <v>264</v>
      </c>
      <c r="Z25" t="s">
        <v>262</v>
      </c>
      <c r="AA25">
        <v>16</v>
      </c>
      <c r="AB25" t="s">
        <v>262</v>
      </c>
      <c r="AC25" t="s">
        <v>274</v>
      </c>
      <c r="AD25" t="s">
        <v>262</v>
      </c>
      <c r="AE25" t="s">
        <v>275</v>
      </c>
      <c r="AF25" t="s">
        <v>262</v>
      </c>
      <c r="AG25" t="s">
        <v>266</v>
      </c>
      <c r="AH25" t="s">
        <v>262</v>
      </c>
      <c r="AI25" t="s">
        <v>277</v>
      </c>
      <c r="AJ25" t="s">
        <v>262</v>
      </c>
      <c r="AK25" t="s">
        <v>287</v>
      </c>
      <c r="AL25" t="s">
        <v>262</v>
      </c>
      <c r="AM25" t="s">
        <v>282</v>
      </c>
      <c r="AN25" t="s">
        <v>262</v>
      </c>
      <c r="AO25" t="s">
        <v>268</v>
      </c>
      <c r="AP25" t="s">
        <v>262</v>
      </c>
      <c r="AQ25">
        <v>64</v>
      </c>
      <c r="AR25" t="s">
        <v>262</v>
      </c>
      <c r="AS25">
        <v>256</v>
      </c>
      <c r="AT25" t="s">
        <v>262</v>
      </c>
      <c r="AU25">
        <v>256</v>
      </c>
      <c r="AV25" t="s">
        <v>257</v>
      </c>
      <c r="AW25" t="s">
        <v>292</v>
      </c>
    </row>
    <row r="26" spans="1:49" x14ac:dyDescent="0.3">
      <c r="A26" t="s">
        <v>343</v>
      </c>
      <c r="B26" t="s">
        <v>253</v>
      </c>
      <c r="C26" t="s">
        <v>318</v>
      </c>
      <c r="D26" t="s">
        <v>280</v>
      </c>
      <c r="E26" t="s">
        <v>337</v>
      </c>
      <c r="F26" t="s">
        <v>262</v>
      </c>
      <c r="G26" t="s">
        <v>281</v>
      </c>
      <c r="H26" t="s">
        <v>262</v>
      </c>
      <c r="I26" t="s">
        <v>282</v>
      </c>
      <c r="J26" t="s">
        <v>262</v>
      </c>
      <c r="K26" t="s">
        <v>282</v>
      </c>
      <c r="L26" t="s">
        <v>262</v>
      </c>
      <c r="M26" t="s">
        <v>300</v>
      </c>
      <c r="N26" t="s">
        <v>262</v>
      </c>
      <c r="O26" t="s">
        <v>282</v>
      </c>
      <c r="P26" t="s">
        <v>262</v>
      </c>
      <c r="Q26" t="s">
        <v>273</v>
      </c>
      <c r="R26" t="s">
        <v>262</v>
      </c>
      <c r="S26" t="s">
        <v>281</v>
      </c>
      <c r="T26" t="s">
        <v>262</v>
      </c>
      <c r="U26">
        <v>8192</v>
      </c>
      <c r="V26" t="s">
        <v>262</v>
      </c>
      <c r="W26">
        <v>8192</v>
      </c>
      <c r="X26" t="s">
        <v>262</v>
      </c>
      <c r="Y26" t="s">
        <v>264</v>
      </c>
      <c r="Z26" t="s">
        <v>283</v>
      </c>
      <c r="AA26">
        <v>8</v>
      </c>
      <c r="AB26" t="s">
        <v>262</v>
      </c>
      <c r="AC26" t="s">
        <v>274</v>
      </c>
      <c r="AD26" t="s">
        <v>262</v>
      </c>
      <c r="AE26" t="s">
        <v>275</v>
      </c>
      <c r="AF26" t="s">
        <v>262</v>
      </c>
      <c r="AG26" t="s">
        <v>266</v>
      </c>
      <c r="AH26" t="s">
        <v>262</v>
      </c>
      <c r="AI26" t="s">
        <v>277</v>
      </c>
      <c r="AJ26" t="s">
        <v>262</v>
      </c>
      <c r="AK26" t="s">
        <v>287</v>
      </c>
      <c r="AL26" t="s">
        <v>262</v>
      </c>
      <c r="AM26" t="s">
        <v>282</v>
      </c>
      <c r="AN26" t="s">
        <v>262</v>
      </c>
      <c r="AO26" t="s">
        <v>268</v>
      </c>
      <c r="AP26" t="s">
        <v>262</v>
      </c>
      <c r="AQ26">
        <v>128</v>
      </c>
      <c r="AR26" t="s">
        <v>262</v>
      </c>
      <c r="AS26">
        <v>1024</v>
      </c>
      <c r="AT26" t="s">
        <v>262</v>
      </c>
      <c r="AU26">
        <v>256</v>
      </c>
      <c r="AV26" t="s">
        <v>257</v>
      </c>
      <c r="AW26" t="s">
        <v>292</v>
      </c>
    </row>
    <row r="27" spans="1:49" x14ac:dyDescent="0.3">
      <c r="A27" t="s">
        <v>344</v>
      </c>
      <c r="B27" t="s">
        <v>307</v>
      </c>
      <c r="C27" t="s">
        <v>299</v>
      </c>
      <c r="D27" t="s">
        <v>255</v>
      </c>
      <c r="E27" t="s">
        <v>337</v>
      </c>
      <c r="F27" t="s">
        <v>257</v>
      </c>
      <c r="G27" t="s">
        <v>258</v>
      </c>
      <c r="H27" t="s">
        <v>257</v>
      </c>
      <c r="I27" t="s">
        <v>284</v>
      </c>
      <c r="J27" t="s">
        <v>257</v>
      </c>
      <c r="K27" t="s">
        <v>259</v>
      </c>
      <c r="L27" t="s">
        <v>257</v>
      </c>
      <c r="M27" t="s">
        <v>260</v>
      </c>
      <c r="N27" t="s">
        <v>257</v>
      </c>
      <c r="O27" t="s">
        <v>259</v>
      </c>
      <c r="P27" t="s">
        <v>257</v>
      </c>
      <c r="Q27" t="s">
        <v>326</v>
      </c>
      <c r="R27" t="s">
        <v>262</v>
      </c>
      <c r="S27">
        <v>16</v>
      </c>
      <c r="T27" t="s">
        <v>262</v>
      </c>
      <c r="U27">
        <v>8192</v>
      </c>
      <c r="V27" t="s">
        <v>262</v>
      </c>
      <c r="W27">
        <v>64</v>
      </c>
      <c r="X27" t="s">
        <v>262</v>
      </c>
      <c r="Y27" t="s">
        <v>264</v>
      </c>
      <c r="Z27" t="s">
        <v>262</v>
      </c>
      <c r="AA27">
        <v>16</v>
      </c>
      <c r="AB27" t="s">
        <v>262</v>
      </c>
      <c r="AC27" t="s">
        <v>274</v>
      </c>
      <c r="AD27" t="s">
        <v>257</v>
      </c>
      <c r="AE27" t="s">
        <v>345</v>
      </c>
      <c r="AF27" t="s">
        <v>262</v>
      </c>
      <c r="AG27" t="s">
        <v>266</v>
      </c>
      <c r="AH27" t="s">
        <v>257</v>
      </c>
      <c r="AI27" t="s">
        <v>265</v>
      </c>
      <c r="AJ27" t="s">
        <v>262</v>
      </c>
      <c r="AK27">
        <v>1</v>
      </c>
      <c r="AL27" t="s">
        <v>257</v>
      </c>
      <c r="AM27">
        <v>2</v>
      </c>
      <c r="AN27" t="s">
        <v>262</v>
      </c>
      <c r="AO27" t="s">
        <v>268</v>
      </c>
      <c r="AP27" t="s">
        <v>257</v>
      </c>
      <c r="AQ27" t="s">
        <v>284</v>
      </c>
      <c r="AR27" t="s">
        <v>262</v>
      </c>
      <c r="AS27">
        <v>2048</v>
      </c>
      <c r="AT27" t="s">
        <v>269</v>
      </c>
      <c r="AU27">
        <v>64</v>
      </c>
      <c r="AV27" t="s">
        <v>257</v>
      </c>
      <c r="AW27" t="s">
        <v>292</v>
      </c>
    </row>
    <row r="28" spans="1:49" x14ac:dyDescent="0.3">
      <c r="A28" t="s">
        <v>346</v>
      </c>
      <c r="B28" t="s">
        <v>307</v>
      </c>
      <c r="C28" t="s">
        <v>347</v>
      </c>
      <c r="D28" t="s">
        <v>255</v>
      </c>
      <c r="E28" t="s">
        <v>337</v>
      </c>
      <c r="F28" t="s">
        <v>257</v>
      </c>
      <c r="G28" t="s">
        <v>258</v>
      </c>
      <c r="H28" t="s">
        <v>257</v>
      </c>
      <c r="I28" t="s">
        <v>284</v>
      </c>
      <c r="J28" t="s">
        <v>262</v>
      </c>
      <c r="K28" t="s">
        <v>282</v>
      </c>
      <c r="L28" t="s">
        <v>257</v>
      </c>
      <c r="M28" t="s">
        <v>260</v>
      </c>
      <c r="N28" t="s">
        <v>257</v>
      </c>
      <c r="O28">
        <v>0.5</v>
      </c>
      <c r="P28" t="s">
        <v>262</v>
      </c>
      <c r="Q28" t="s">
        <v>273</v>
      </c>
      <c r="R28" t="s">
        <v>262</v>
      </c>
      <c r="S28">
        <v>16</v>
      </c>
      <c r="T28" t="s">
        <v>262</v>
      </c>
      <c r="U28" t="s">
        <v>296</v>
      </c>
      <c r="V28" t="s">
        <v>262</v>
      </c>
      <c r="W28">
        <v>256</v>
      </c>
      <c r="X28" t="s">
        <v>262</v>
      </c>
      <c r="Y28" t="s">
        <v>264</v>
      </c>
      <c r="Z28" t="s">
        <v>262</v>
      </c>
      <c r="AA28" t="s">
        <v>281</v>
      </c>
      <c r="AB28" t="s">
        <v>262</v>
      </c>
      <c r="AC28" t="s">
        <v>274</v>
      </c>
      <c r="AD28" t="s">
        <v>262</v>
      </c>
      <c r="AE28" t="s">
        <v>275</v>
      </c>
      <c r="AF28" t="s">
        <v>262</v>
      </c>
      <c r="AG28" t="s">
        <v>310</v>
      </c>
      <c r="AH28" t="s">
        <v>257</v>
      </c>
      <c r="AI28" t="s">
        <v>265</v>
      </c>
      <c r="AJ28" t="s">
        <v>262</v>
      </c>
      <c r="AK28">
        <v>1</v>
      </c>
      <c r="AL28" t="s">
        <v>257</v>
      </c>
      <c r="AM28">
        <v>2</v>
      </c>
      <c r="AN28" t="s">
        <v>262</v>
      </c>
      <c r="AO28" t="s">
        <v>268</v>
      </c>
      <c r="AP28" t="s">
        <v>262</v>
      </c>
      <c r="AQ28">
        <v>32</v>
      </c>
      <c r="AR28" t="s">
        <v>262</v>
      </c>
      <c r="AS28" t="s">
        <v>297</v>
      </c>
      <c r="AT28" t="s">
        <v>269</v>
      </c>
      <c r="AU28">
        <v>64</v>
      </c>
      <c r="AV28" t="s">
        <v>257</v>
      </c>
      <c r="AW28" t="s">
        <v>292</v>
      </c>
    </row>
    <row r="29" spans="1:49" x14ac:dyDescent="0.3">
      <c r="A29" t="s">
        <v>348</v>
      </c>
      <c r="B29" t="s">
        <v>253</v>
      </c>
      <c r="C29" t="s">
        <v>349</v>
      </c>
      <c r="D29" t="s">
        <v>280</v>
      </c>
      <c r="E29" t="s">
        <v>337</v>
      </c>
      <c r="F29" t="s">
        <v>262</v>
      </c>
      <c r="G29" t="s">
        <v>281</v>
      </c>
      <c r="H29" t="s">
        <v>257</v>
      </c>
      <c r="I29">
        <v>4</v>
      </c>
      <c r="J29" t="s">
        <v>262</v>
      </c>
      <c r="K29" t="s">
        <v>282</v>
      </c>
      <c r="L29" t="s">
        <v>262</v>
      </c>
      <c r="M29" t="s">
        <v>300</v>
      </c>
      <c r="N29" t="s">
        <v>262</v>
      </c>
      <c r="O29" t="s">
        <v>282</v>
      </c>
      <c r="P29" t="s">
        <v>262</v>
      </c>
      <c r="Q29" t="s">
        <v>273</v>
      </c>
      <c r="R29" t="s">
        <v>262</v>
      </c>
      <c r="S29" t="s">
        <v>281</v>
      </c>
      <c r="T29" t="s">
        <v>262</v>
      </c>
      <c r="U29">
        <v>16384</v>
      </c>
      <c r="V29" t="s">
        <v>262</v>
      </c>
      <c r="W29">
        <v>4096</v>
      </c>
      <c r="X29" t="s">
        <v>262</v>
      </c>
      <c r="Y29" t="s">
        <v>264</v>
      </c>
      <c r="Z29" t="s">
        <v>262</v>
      </c>
      <c r="AA29" t="s">
        <v>281</v>
      </c>
      <c r="AB29" t="s">
        <v>262</v>
      </c>
      <c r="AC29" t="s">
        <v>274</v>
      </c>
      <c r="AD29" t="s">
        <v>262</v>
      </c>
      <c r="AE29" t="s">
        <v>275</v>
      </c>
      <c r="AF29" t="s">
        <v>262</v>
      </c>
      <c r="AG29" t="s">
        <v>266</v>
      </c>
      <c r="AH29" t="s">
        <v>262</v>
      </c>
      <c r="AI29" t="s">
        <v>277</v>
      </c>
      <c r="AJ29" t="s">
        <v>262</v>
      </c>
      <c r="AK29" t="s">
        <v>287</v>
      </c>
      <c r="AL29" t="s">
        <v>262</v>
      </c>
      <c r="AM29" t="s">
        <v>282</v>
      </c>
      <c r="AN29" t="s">
        <v>262</v>
      </c>
      <c r="AO29" t="s">
        <v>268</v>
      </c>
      <c r="AP29" t="s">
        <v>262</v>
      </c>
      <c r="AQ29">
        <v>32</v>
      </c>
      <c r="AR29" t="s">
        <v>262</v>
      </c>
      <c r="AS29" t="s">
        <v>297</v>
      </c>
      <c r="AT29" t="s">
        <v>262</v>
      </c>
      <c r="AU29">
        <v>256</v>
      </c>
      <c r="AV29" t="s">
        <v>269</v>
      </c>
      <c r="AW29">
        <v>128</v>
      </c>
    </row>
    <row r="30" spans="1:49" x14ac:dyDescent="0.3">
      <c r="A30" t="s">
        <v>36</v>
      </c>
      <c r="B30" t="s">
        <v>253</v>
      </c>
      <c r="C30" t="s">
        <v>350</v>
      </c>
      <c r="D30" t="s">
        <v>280</v>
      </c>
      <c r="E30" t="s">
        <v>337</v>
      </c>
      <c r="F30" t="s">
        <v>269</v>
      </c>
      <c r="G30">
        <v>32</v>
      </c>
      <c r="H30" t="s">
        <v>262</v>
      </c>
      <c r="I30" t="s">
        <v>282</v>
      </c>
      <c r="J30" t="s">
        <v>262</v>
      </c>
      <c r="K30">
        <v>4</v>
      </c>
      <c r="L30" t="s">
        <v>262</v>
      </c>
      <c r="M30" t="s">
        <v>300</v>
      </c>
      <c r="N30" t="s">
        <v>262</v>
      </c>
      <c r="O30" t="s">
        <v>282</v>
      </c>
      <c r="P30" t="s">
        <v>262</v>
      </c>
      <c r="Q30" t="s">
        <v>273</v>
      </c>
      <c r="R30" t="s">
        <v>262</v>
      </c>
      <c r="S30" t="s">
        <v>281</v>
      </c>
      <c r="T30" t="s">
        <v>262</v>
      </c>
      <c r="U30">
        <v>4096</v>
      </c>
      <c r="V30" t="s">
        <v>262</v>
      </c>
      <c r="W30">
        <v>2048</v>
      </c>
      <c r="X30" t="s">
        <v>262</v>
      </c>
      <c r="Y30" t="s">
        <v>264</v>
      </c>
      <c r="Z30" t="s">
        <v>262</v>
      </c>
      <c r="AA30">
        <v>16</v>
      </c>
      <c r="AB30" t="s">
        <v>262</v>
      </c>
      <c r="AC30" t="s">
        <v>274</v>
      </c>
      <c r="AD30" t="s">
        <v>262</v>
      </c>
      <c r="AE30" t="s">
        <v>275</v>
      </c>
      <c r="AF30" t="s">
        <v>262</v>
      </c>
      <c r="AG30" t="s">
        <v>266</v>
      </c>
      <c r="AH30" t="s">
        <v>262</v>
      </c>
      <c r="AI30" t="s">
        <v>277</v>
      </c>
      <c r="AJ30" t="s">
        <v>262</v>
      </c>
      <c r="AK30" t="s">
        <v>287</v>
      </c>
      <c r="AL30" t="s">
        <v>269</v>
      </c>
      <c r="AM30">
        <v>8</v>
      </c>
      <c r="AN30" t="s">
        <v>262</v>
      </c>
      <c r="AO30" t="s">
        <v>268</v>
      </c>
      <c r="AP30" t="s">
        <v>262</v>
      </c>
      <c r="AQ30">
        <v>64</v>
      </c>
      <c r="AR30" t="s">
        <v>262</v>
      </c>
      <c r="AS30" t="s">
        <v>297</v>
      </c>
      <c r="AT30" t="s">
        <v>269</v>
      </c>
      <c r="AU30">
        <v>64</v>
      </c>
      <c r="AV30" t="s">
        <v>257</v>
      </c>
      <c r="AW30" t="s">
        <v>292</v>
      </c>
    </row>
    <row r="31" spans="1:49" x14ac:dyDescent="0.3">
      <c r="A31" t="s">
        <v>37</v>
      </c>
      <c r="B31" t="s">
        <v>253</v>
      </c>
      <c r="C31" t="s">
        <v>351</v>
      </c>
      <c r="D31" t="s">
        <v>255</v>
      </c>
      <c r="E31" t="s">
        <v>352</v>
      </c>
      <c r="F31" t="s">
        <v>269</v>
      </c>
      <c r="G31">
        <v>32</v>
      </c>
      <c r="H31" t="s">
        <v>262</v>
      </c>
      <c r="I31" t="s">
        <v>282</v>
      </c>
      <c r="J31" t="s">
        <v>262</v>
      </c>
      <c r="K31" t="s">
        <v>282</v>
      </c>
      <c r="L31" t="s">
        <v>262</v>
      </c>
      <c r="M31" t="s">
        <v>300</v>
      </c>
      <c r="N31" t="s">
        <v>262</v>
      </c>
      <c r="O31" t="s">
        <v>282</v>
      </c>
      <c r="P31" t="s">
        <v>262</v>
      </c>
      <c r="Q31" t="s">
        <v>273</v>
      </c>
      <c r="R31" t="s">
        <v>262</v>
      </c>
      <c r="S31" t="s">
        <v>281</v>
      </c>
      <c r="T31" t="s">
        <v>262</v>
      </c>
      <c r="U31">
        <v>4096</v>
      </c>
      <c r="V31" t="s">
        <v>262</v>
      </c>
      <c r="W31">
        <v>4096</v>
      </c>
      <c r="X31" t="s">
        <v>262</v>
      </c>
      <c r="Y31" t="s">
        <v>264</v>
      </c>
      <c r="Z31" t="s">
        <v>262</v>
      </c>
      <c r="AA31" t="s">
        <v>281</v>
      </c>
      <c r="AB31" t="s">
        <v>262</v>
      </c>
      <c r="AC31" t="s">
        <v>274</v>
      </c>
      <c r="AD31" t="s">
        <v>262</v>
      </c>
      <c r="AE31" t="s">
        <v>275</v>
      </c>
      <c r="AF31" t="s">
        <v>262</v>
      </c>
      <c r="AG31" t="s">
        <v>276</v>
      </c>
      <c r="AH31" t="s">
        <v>262</v>
      </c>
      <c r="AI31" t="s">
        <v>277</v>
      </c>
      <c r="AJ31" t="s">
        <v>262</v>
      </c>
      <c r="AK31" t="s">
        <v>287</v>
      </c>
      <c r="AL31" t="s">
        <v>269</v>
      </c>
      <c r="AM31">
        <v>8</v>
      </c>
      <c r="AN31" t="s">
        <v>262</v>
      </c>
      <c r="AO31" t="s">
        <v>268</v>
      </c>
      <c r="AP31" t="s">
        <v>262</v>
      </c>
      <c r="AQ31">
        <v>64</v>
      </c>
      <c r="AR31" t="s">
        <v>262</v>
      </c>
      <c r="AS31" t="s">
        <v>297</v>
      </c>
      <c r="AT31" t="s">
        <v>262</v>
      </c>
      <c r="AU31">
        <v>128</v>
      </c>
      <c r="AV31" t="s">
        <v>257</v>
      </c>
      <c r="AW31" t="s">
        <v>292</v>
      </c>
    </row>
    <row r="32" spans="1:49" x14ac:dyDescent="0.3">
      <c r="A32" t="s">
        <v>38</v>
      </c>
      <c r="B32" t="s">
        <v>307</v>
      </c>
      <c r="C32" t="s">
        <v>353</v>
      </c>
      <c r="D32" t="s">
        <v>255</v>
      </c>
      <c r="E32" t="s">
        <v>352</v>
      </c>
      <c r="F32" t="s">
        <v>269</v>
      </c>
      <c r="G32">
        <v>32</v>
      </c>
      <c r="H32" t="s">
        <v>262</v>
      </c>
      <c r="I32" t="s">
        <v>282</v>
      </c>
      <c r="J32" t="s">
        <v>262</v>
      </c>
      <c r="K32" t="s">
        <v>282</v>
      </c>
      <c r="L32" t="s">
        <v>262</v>
      </c>
      <c r="M32" t="s">
        <v>300</v>
      </c>
      <c r="N32" t="s">
        <v>262</v>
      </c>
      <c r="O32" t="s">
        <v>282</v>
      </c>
      <c r="P32" t="s">
        <v>262</v>
      </c>
      <c r="Q32" t="s">
        <v>273</v>
      </c>
      <c r="R32" t="s">
        <v>262</v>
      </c>
      <c r="S32" t="s">
        <v>281</v>
      </c>
      <c r="T32" t="s">
        <v>262</v>
      </c>
      <c r="U32">
        <v>8192</v>
      </c>
      <c r="V32" t="s">
        <v>262</v>
      </c>
      <c r="W32">
        <v>4096</v>
      </c>
      <c r="X32" t="s">
        <v>262</v>
      </c>
      <c r="Y32" t="s">
        <v>264</v>
      </c>
      <c r="Z32" t="s">
        <v>262</v>
      </c>
      <c r="AA32">
        <v>16</v>
      </c>
      <c r="AB32" t="s">
        <v>262</v>
      </c>
      <c r="AC32" t="s">
        <v>274</v>
      </c>
      <c r="AD32" t="s">
        <v>262</v>
      </c>
      <c r="AE32" t="s">
        <v>275</v>
      </c>
      <c r="AF32" t="s">
        <v>262</v>
      </c>
      <c r="AG32" t="s">
        <v>310</v>
      </c>
      <c r="AH32" t="s">
        <v>262</v>
      </c>
      <c r="AI32" t="s">
        <v>277</v>
      </c>
      <c r="AJ32" t="s">
        <v>262</v>
      </c>
      <c r="AK32" t="s">
        <v>287</v>
      </c>
      <c r="AL32" t="s">
        <v>269</v>
      </c>
      <c r="AM32">
        <v>8</v>
      </c>
      <c r="AN32" t="s">
        <v>262</v>
      </c>
      <c r="AO32" t="s">
        <v>268</v>
      </c>
      <c r="AP32" t="s">
        <v>269</v>
      </c>
      <c r="AQ32">
        <v>8</v>
      </c>
      <c r="AR32" t="s">
        <v>262</v>
      </c>
      <c r="AS32" t="s">
        <v>297</v>
      </c>
      <c r="AT32" t="s">
        <v>269</v>
      </c>
      <c r="AU32">
        <v>64</v>
      </c>
      <c r="AV32" t="s">
        <v>257</v>
      </c>
      <c r="AW32" t="s">
        <v>292</v>
      </c>
    </row>
    <row r="33" spans="1:49" x14ac:dyDescent="0.3">
      <c r="A33" t="s">
        <v>39</v>
      </c>
      <c r="B33" t="s">
        <v>332</v>
      </c>
      <c r="C33" t="s">
        <v>354</v>
      </c>
      <c r="D33" t="s">
        <v>280</v>
      </c>
      <c r="E33" t="s">
        <v>352</v>
      </c>
      <c r="F33" t="s">
        <v>269</v>
      </c>
      <c r="G33">
        <v>32</v>
      </c>
      <c r="H33" t="s">
        <v>257</v>
      </c>
      <c r="I33" t="s">
        <v>284</v>
      </c>
      <c r="J33" t="s">
        <v>262</v>
      </c>
      <c r="K33" t="s">
        <v>282</v>
      </c>
      <c r="L33" t="s">
        <v>262</v>
      </c>
      <c r="M33" t="s">
        <v>300</v>
      </c>
      <c r="N33" t="s">
        <v>262</v>
      </c>
      <c r="O33" t="s">
        <v>282</v>
      </c>
      <c r="P33" t="s">
        <v>262</v>
      </c>
      <c r="Q33" t="s">
        <v>273</v>
      </c>
      <c r="R33" t="s">
        <v>262</v>
      </c>
      <c r="S33" t="s">
        <v>281</v>
      </c>
      <c r="T33" t="s">
        <v>262</v>
      </c>
      <c r="U33">
        <v>8192</v>
      </c>
      <c r="V33" t="s">
        <v>262</v>
      </c>
      <c r="W33">
        <v>2048</v>
      </c>
      <c r="X33" t="s">
        <v>262</v>
      </c>
      <c r="Y33" t="s">
        <v>264</v>
      </c>
      <c r="Z33" t="s">
        <v>262</v>
      </c>
      <c r="AA33" t="s">
        <v>281</v>
      </c>
      <c r="AB33" t="s">
        <v>262</v>
      </c>
      <c r="AC33" t="s">
        <v>274</v>
      </c>
      <c r="AD33" t="s">
        <v>262</v>
      </c>
      <c r="AE33" t="s">
        <v>275</v>
      </c>
      <c r="AF33" t="s">
        <v>262</v>
      </c>
      <c r="AG33" t="s">
        <v>310</v>
      </c>
      <c r="AH33" t="s">
        <v>262</v>
      </c>
      <c r="AI33" t="s">
        <v>277</v>
      </c>
      <c r="AJ33" t="s">
        <v>262</v>
      </c>
      <c r="AK33" t="s">
        <v>287</v>
      </c>
      <c r="AL33" t="s">
        <v>262</v>
      </c>
      <c r="AM33" t="s">
        <v>282</v>
      </c>
      <c r="AN33" t="s">
        <v>262</v>
      </c>
      <c r="AO33" t="s">
        <v>268</v>
      </c>
      <c r="AP33" t="s">
        <v>257</v>
      </c>
      <c r="AQ33">
        <v>4</v>
      </c>
      <c r="AR33" t="s">
        <v>262</v>
      </c>
      <c r="AS33">
        <v>2048</v>
      </c>
      <c r="AT33" t="s">
        <v>262</v>
      </c>
      <c r="AU33">
        <v>256</v>
      </c>
      <c r="AV33" t="s">
        <v>257</v>
      </c>
      <c r="AW33">
        <v>64</v>
      </c>
    </row>
    <row r="34" spans="1:49" x14ac:dyDescent="0.3">
      <c r="A34" t="s">
        <v>40</v>
      </c>
      <c r="B34" t="s">
        <v>332</v>
      </c>
      <c r="C34" t="s">
        <v>341</v>
      </c>
      <c r="D34" t="s">
        <v>280</v>
      </c>
      <c r="E34" t="s">
        <v>352</v>
      </c>
      <c r="F34" t="s">
        <v>262</v>
      </c>
      <c r="G34" t="s">
        <v>281</v>
      </c>
      <c r="H34" t="s">
        <v>262</v>
      </c>
      <c r="I34" t="s">
        <v>282</v>
      </c>
      <c r="J34" t="s">
        <v>262</v>
      </c>
      <c r="K34" t="s">
        <v>282</v>
      </c>
      <c r="L34" t="s">
        <v>262</v>
      </c>
      <c r="M34" t="s">
        <v>300</v>
      </c>
      <c r="N34" t="s">
        <v>262</v>
      </c>
      <c r="O34" t="s">
        <v>282</v>
      </c>
      <c r="P34" t="s">
        <v>262</v>
      </c>
      <c r="Q34" t="s">
        <v>273</v>
      </c>
      <c r="R34" t="s">
        <v>262</v>
      </c>
      <c r="S34" t="s">
        <v>281</v>
      </c>
      <c r="T34" t="s">
        <v>262</v>
      </c>
      <c r="U34">
        <v>16384</v>
      </c>
      <c r="V34" t="s">
        <v>262</v>
      </c>
      <c r="W34">
        <v>8192</v>
      </c>
      <c r="X34" t="s">
        <v>262</v>
      </c>
      <c r="Y34" t="s">
        <v>264</v>
      </c>
      <c r="Z34" t="s">
        <v>262</v>
      </c>
      <c r="AA34" t="s">
        <v>281</v>
      </c>
      <c r="AB34" t="s">
        <v>262</v>
      </c>
      <c r="AC34" t="s">
        <v>274</v>
      </c>
      <c r="AD34" t="s">
        <v>262</v>
      </c>
      <c r="AE34" t="s">
        <v>275</v>
      </c>
      <c r="AF34" t="s">
        <v>262</v>
      </c>
      <c r="AG34" t="s">
        <v>266</v>
      </c>
      <c r="AH34" t="s">
        <v>262</v>
      </c>
      <c r="AI34" t="s">
        <v>277</v>
      </c>
      <c r="AJ34" t="s">
        <v>262</v>
      </c>
      <c r="AK34" t="s">
        <v>287</v>
      </c>
      <c r="AL34" t="s">
        <v>262</v>
      </c>
      <c r="AM34" t="s">
        <v>282</v>
      </c>
      <c r="AN34" t="s">
        <v>262</v>
      </c>
      <c r="AO34" t="s">
        <v>268</v>
      </c>
      <c r="AP34" t="s">
        <v>262</v>
      </c>
      <c r="AQ34">
        <v>256</v>
      </c>
      <c r="AR34" t="s">
        <v>262</v>
      </c>
      <c r="AS34">
        <v>1024</v>
      </c>
      <c r="AT34" t="s">
        <v>262</v>
      </c>
      <c r="AU34">
        <v>256</v>
      </c>
      <c r="AV34" t="s">
        <v>257</v>
      </c>
      <c r="AW34">
        <v>64</v>
      </c>
    </row>
    <row r="35" spans="1:49" x14ac:dyDescent="0.3">
      <c r="A35" t="s">
        <v>41</v>
      </c>
      <c r="B35" t="s">
        <v>253</v>
      </c>
      <c r="C35" t="s">
        <v>355</v>
      </c>
      <c r="D35" t="s">
        <v>280</v>
      </c>
      <c r="E35" t="s">
        <v>352</v>
      </c>
      <c r="F35" t="s">
        <v>257</v>
      </c>
      <c r="G35" t="s">
        <v>258</v>
      </c>
      <c r="H35" t="s">
        <v>257</v>
      </c>
      <c r="I35" t="s">
        <v>284</v>
      </c>
      <c r="J35" t="s">
        <v>262</v>
      </c>
      <c r="K35" t="s">
        <v>282</v>
      </c>
      <c r="L35" t="s">
        <v>262</v>
      </c>
      <c r="M35" t="s">
        <v>300</v>
      </c>
      <c r="N35" t="s">
        <v>262</v>
      </c>
      <c r="O35" t="s">
        <v>282</v>
      </c>
      <c r="P35" t="s">
        <v>257</v>
      </c>
      <c r="Q35" t="s">
        <v>301</v>
      </c>
      <c r="R35" t="s">
        <v>262</v>
      </c>
      <c r="S35" t="s">
        <v>281</v>
      </c>
      <c r="T35" t="s">
        <v>262</v>
      </c>
      <c r="U35">
        <v>16384</v>
      </c>
      <c r="V35" t="s">
        <v>262</v>
      </c>
      <c r="W35">
        <v>256</v>
      </c>
      <c r="X35" t="s">
        <v>262</v>
      </c>
      <c r="Y35" t="s">
        <v>264</v>
      </c>
      <c r="Z35" t="s">
        <v>262</v>
      </c>
      <c r="AA35" t="s">
        <v>281</v>
      </c>
      <c r="AB35" t="s">
        <v>262</v>
      </c>
      <c r="AC35" t="s">
        <v>274</v>
      </c>
      <c r="AD35" t="s">
        <v>262</v>
      </c>
      <c r="AE35" t="s">
        <v>275</v>
      </c>
      <c r="AF35" t="s">
        <v>262</v>
      </c>
      <c r="AG35" t="s">
        <v>356</v>
      </c>
      <c r="AH35" t="s">
        <v>262</v>
      </c>
      <c r="AI35" t="s">
        <v>277</v>
      </c>
      <c r="AJ35" t="s">
        <v>262</v>
      </c>
      <c r="AK35" t="s">
        <v>287</v>
      </c>
      <c r="AL35" t="s">
        <v>262</v>
      </c>
      <c r="AM35" t="s">
        <v>282</v>
      </c>
      <c r="AN35" t="s">
        <v>262</v>
      </c>
      <c r="AO35" t="s">
        <v>268</v>
      </c>
      <c r="AP35" t="s">
        <v>257</v>
      </c>
      <c r="AQ35">
        <v>4</v>
      </c>
      <c r="AR35" t="s">
        <v>262</v>
      </c>
      <c r="AS35">
        <v>512</v>
      </c>
      <c r="AT35" t="s">
        <v>262</v>
      </c>
      <c r="AU35">
        <v>256</v>
      </c>
      <c r="AV35" t="s">
        <v>262</v>
      </c>
      <c r="AW35" t="s">
        <v>305</v>
      </c>
    </row>
    <row r="36" spans="1:49" x14ac:dyDescent="0.3">
      <c r="A36" t="s">
        <v>42</v>
      </c>
      <c r="B36" t="s">
        <v>332</v>
      </c>
      <c r="C36" t="s">
        <v>299</v>
      </c>
      <c r="D36" t="s">
        <v>255</v>
      </c>
      <c r="E36" t="s">
        <v>352</v>
      </c>
      <c r="F36" t="s">
        <v>257</v>
      </c>
      <c r="G36" t="s">
        <v>258</v>
      </c>
      <c r="H36" t="s">
        <v>257</v>
      </c>
      <c r="I36" t="s">
        <v>284</v>
      </c>
      <c r="J36" t="s">
        <v>257</v>
      </c>
      <c r="K36" t="s">
        <v>259</v>
      </c>
      <c r="L36" t="s">
        <v>257</v>
      </c>
      <c r="M36" t="s">
        <v>260</v>
      </c>
      <c r="N36" t="s">
        <v>257</v>
      </c>
      <c r="O36" t="s">
        <v>259</v>
      </c>
      <c r="P36" t="s">
        <v>262</v>
      </c>
      <c r="Q36" t="s">
        <v>273</v>
      </c>
      <c r="R36" t="s">
        <v>262</v>
      </c>
      <c r="S36" t="s">
        <v>281</v>
      </c>
      <c r="T36" t="s">
        <v>262</v>
      </c>
      <c r="U36">
        <v>16384</v>
      </c>
      <c r="V36" t="s">
        <v>262</v>
      </c>
      <c r="W36">
        <v>512</v>
      </c>
      <c r="X36" t="s">
        <v>262</v>
      </c>
      <c r="Y36" t="s">
        <v>264</v>
      </c>
      <c r="Z36" t="s">
        <v>262</v>
      </c>
      <c r="AA36" t="s">
        <v>281</v>
      </c>
      <c r="AB36" t="s">
        <v>262</v>
      </c>
      <c r="AC36" t="s">
        <v>274</v>
      </c>
      <c r="AD36" t="s">
        <v>262</v>
      </c>
      <c r="AE36" t="s">
        <v>275</v>
      </c>
      <c r="AF36" t="s">
        <v>262</v>
      </c>
      <c r="AG36" t="s">
        <v>266</v>
      </c>
      <c r="AH36" t="s">
        <v>262</v>
      </c>
      <c r="AI36" t="s">
        <v>277</v>
      </c>
      <c r="AJ36" t="s">
        <v>262</v>
      </c>
      <c r="AK36" t="s">
        <v>287</v>
      </c>
      <c r="AL36" t="s">
        <v>262</v>
      </c>
      <c r="AM36" t="s">
        <v>282</v>
      </c>
      <c r="AN36" t="s">
        <v>262</v>
      </c>
      <c r="AO36" t="s">
        <v>268</v>
      </c>
      <c r="AP36" t="s">
        <v>262</v>
      </c>
      <c r="AQ36">
        <v>16</v>
      </c>
      <c r="AR36" t="s">
        <v>262</v>
      </c>
      <c r="AS36">
        <v>512</v>
      </c>
      <c r="AT36" t="s">
        <v>257</v>
      </c>
      <c r="AU36" t="s">
        <v>292</v>
      </c>
      <c r="AV36" t="s">
        <v>257</v>
      </c>
      <c r="AW36" t="s">
        <v>292</v>
      </c>
    </row>
    <row r="37" spans="1:49" x14ac:dyDescent="0.3">
      <c r="A37" t="s">
        <v>43</v>
      </c>
      <c r="B37" t="s">
        <v>332</v>
      </c>
      <c r="C37" t="s">
        <v>357</v>
      </c>
      <c r="D37" t="s">
        <v>280</v>
      </c>
      <c r="E37" t="s">
        <v>352</v>
      </c>
      <c r="F37" t="s">
        <v>257</v>
      </c>
      <c r="G37" t="s">
        <v>258</v>
      </c>
      <c r="H37" t="s">
        <v>257</v>
      </c>
      <c r="I37" t="s">
        <v>284</v>
      </c>
      <c r="J37" t="s">
        <v>262</v>
      </c>
      <c r="K37" t="s">
        <v>282</v>
      </c>
      <c r="L37" t="s">
        <v>262</v>
      </c>
      <c r="M37" t="s">
        <v>300</v>
      </c>
      <c r="N37" t="s">
        <v>262</v>
      </c>
      <c r="O37" t="s">
        <v>282</v>
      </c>
      <c r="P37" t="s">
        <v>257</v>
      </c>
      <c r="Q37" t="s">
        <v>358</v>
      </c>
      <c r="R37" t="s">
        <v>262</v>
      </c>
      <c r="S37" t="s">
        <v>281</v>
      </c>
      <c r="T37" t="s">
        <v>262</v>
      </c>
      <c r="U37">
        <v>4096</v>
      </c>
      <c r="V37" t="s">
        <v>262</v>
      </c>
      <c r="W37">
        <v>512</v>
      </c>
      <c r="X37" t="s">
        <v>262</v>
      </c>
      <c r="Y37" t="s">
        <v>264</v>
      </c>
      <c r="Z37" t="s">
        <v>262</v>
      </c>
      <c r="AA37" t="s">
        <v>281</v>
      </c>
      <c r="AB37" t="s">
        <v>262</v>
      </c>
      <c r="AC37" t="s">
        <v>274</v>
      </c>
      <c r="AD37" t="s">
        <v>262</v>
      </c>
      <c r="AE37" t="s">
        <v>275</v>
      </c>
      <c r="AF37" t="s">
        <v>262</v>
      </c>
      <c r="AG37" t="s">
        <v>266</v>
      </c>
      <c r="AH37" t="s">
        <v>262</v>
      </c>
      <c r="AI37" t="s">
        <v>277</v>
      </c>
      <c r="AJ37" t="s">
        <v>262</v>
      </c>
      <c r="AK37" t="s">
        <v>287</v>
      </c>
      <c r="AL37" t="s">
        <v>262</v>
      </c>
      <c r="AM37" t="s">
        <v>282</v>
      </c>
      <c r="AN37" t="s">
        <v>262</v>
      </c>
      <c r="AO37" t="s">
        <v>268</v>
      </c>
      <c r="AP37" t="s">
        <v>257</v>
      </c>
      <c r="AQ37">
        <v>4</v>
      </c>
      <c r="AR37" t="s">
        <v>262</v>
      </c>
      <c r="AS37">
        <v>1024</v>
      </c>
      <c r="AT37" t="s">
        <v>269</v>
      </c>
      <c r="AU37">
        <v>64</v>
      </c>
      <c r="AV37" t="s">
        <v>257</v>
      </c>
      <c r="AW37">
        <v>32</v>
      </c>
    </row>
    <row r="38" spans="1:49" x14ac:dyDescent="0.3">
      <c r="A38" t="s">
        <v>359</v>
      </c>
      <c r="B38" t="s">
        <v>360</v>
      </c>
      <c r="C38" t="s">
        <v>361</v>
      </c>
      <c r="D38" t="s">
        <v>255</v>
      </c>
      <c r="E38" t="s">
        <v>352</v>
      </c>
      <c r="F38" t="s">
        <v>257</v>
      </c>
      <c r="G38" t="s">
        <v>258</v>
      </c>
      <c r="H38" t="s">
        <v>257</v>
      </c>
      <c r="I38" t="s">
        <v>284</v>
      </c>
      <c r="J38" t="s">
        <v>257</v>
      </c>
      <c r="K38" t="s">
        <v>259</v>
      </c>
      <c r="L38" t="s">
        <v>257</v>
      </c>
      <c r="M38" t="s">
        <v>260</v>
      </c>
      <c r="N38" t="s">
        <v>257</v>
      </c>
      <c r="O38" t="s">
        <v>259</v>
      </c>
      <c r="P38" t="s">
        <v>262</v>
      </c>
      <c r="Q38" t="s">
        <v>273</v>
      </c>
      <c r="R38" t="s">
        <v>262</v>
      </c>
      <c r="S38" t="s">
        <v>281</v>
      </c>
      <c r="T38" t="s">
        <v>262</v>
      </c>
      <c r="U38">
        <v>16384</v>
      </c>
      <c r="V38" t="s">
        <v>262</v>
      </c>
      <c r="W38">
        <v>512</v>
      </c>
      <c r="X38" t="s">
        <v>262</v>
      </c>
      <c r="Y38" t="s">
        <v>264</v>
      </c>
      <c r="Z38" t="s">
        <v>262</v>
      </c>
      <c r="AA38" t="s">
        <v>281</v>
      </c>
      <c r="AB38" t="s">
        <v>262</v>
      </c>
      <c r="AC38" t="s">
        <v>274</v>
      </c>
      <c r="AD38" t="s">
        <v>262</v>
      </c>
      <c r="AE38" t="s">
        <v>275</v>
      </c>
      <c r="AF38" t="s">
        <v>262</v>
      </c>
      <c r="AG38" t="s">
        <v>266</v>
      </c>
      <c r="AH38" t="s">
        <v>262</v>
      </c>
      <c r="AI38" t="s">
        <v>277</v>
      </c>
      <c r="AJ38" t="s">
        <v>262</v>
      </c>
      <c r="AK38" t="s">
        <v>287</v>
      </c>
      <c r="AL38" t="s">
        <v>262</v>
      </c>
      <c r="AM38" t="s">
        <v>282</v>
      </c>
      <c r="AN38" t="s">
        <v>262</v>
      </c>
      <c r="AO38" t="s">
        <v>268</v>
      </c>
      <c r="AP38" t="s">
        <v>262</v>
      </c>
      <c r="AQ38">
        <v>16</v>
      </c>
      <c r="AR38" t="s">
        <v>262</v>
      </c>
      <c r="AS38">
        <v>512</v>
      </c>
      <c r="AT38" t="s">
        <v>257</v>
      </c>
      <c r="AU38" t="s">
        <v>292</v>
      </c>
      <c r="AV38" t="s">
        <v>257</v>
      </c>
      <c r="AW38" t="s">
        <v>292</v>
      </c>
    </row>
    <row r="39" spans="1:49" x14ac:dyDescent="0.3">
      <c r="A39" t="s">
        <v>362</v>
      </c>
      <c r="B39" t="s">
        <v>307</v>
      </c>
      <c r="C39" t="s">
        <v>349</v>
      </c>
      <c r="D39" t="s">
        <v>280</v>
      </c>
      <c r="E39" t="s">
        <v>352</v>
      </c>
      <c r="F39" t="s">
        <v>257</v>
      </c>
      <c r="G39" t="s">
        <v>258</v>
      </c>
      <c r="H39" t="s">
        <v>257</v>
      </c>
      <c r="I39" t="s">
        <v>284</v>
      </c>
      <c r="J39" t="s">
        <v>257</v>
      </c>
      <c r="K39" t="s">
        <v>259</v>
      </c>
      <c r="L39" t="s">
        <v>257</v>
      </c>
      <c r="M39" t="s">
        <v>260</v>
      </c>
      <c r="N39" t="s">
        <v>257</v>
      </c>
      <c r="O39" t="s">
        <v>259</v>
      </c>
      <c r="P39" t="s">
        <v>257</v>
      </c>
      <c r="Q39" t="s">
        <v>363</v>
      </c>
      <c r="R39" t="s">
        <v>262</v>
      </c>
      <c r="S39" t="s">
        <v>281</v>
      </c>
      <c r="T39" t="s">
        <v>262</v>
      </c>
      <c r="U39">
        <v>16384</v>
      </c>
      <c r="V39" t="s">
        <v>262</v>
      </c>
      <c r="W39">
        <v>512</v>
      </c>
      <c r="X39" t="s">
        <v>262</v>
      </c>
      <c r="Y39" t="s">
        <v>264</v>
      </c>
      <c r="Z39" t="s">
        <v>262</v>
      </c>
      <c r="AA39" t="s">
        <v>281</v>
      </c>
      <c r="AB39" t="s">
        <v>262</v>
      </c>
      <c r="AC39" t="s">
        <v>274</v>
      </c>
      <c r="AD39" t="s">
        <v>262</v>
      </c>
      <c r="AE39" t="s">
        <v>275</v>
      </c>
      <c r="AF39" t="s">
        <v>262</v>
      </c>
      <c r="AG39" t="s">
        <v>266</v>
      </c>
      <c r="AH39" t="s">
        <v>262</v>
      </c>
      <c r="AI39" t="s">
        <v>277</v>
      </c>
      <c r="AJ39" t="s">
        <v>262</v>
      </c>
      <c r="AK39" t="s">
        <v>287</v>
      </c>
      <c r="AL39" t="s">
        <v>262</v>
      </c>
      <c r="AM39" t="s">
        <v>282</v>
      </c>
      <c r="AN39" t="s">
        <v>262</v>
      </c>
      <c r="AO39" t="s">
        <v>268</v>
      </c>
      <c r="AP39" t="s">
        <v>262</v>
      </c>
      <c r="AQ39">
        <v>128</v>
      </c>
      <c r="AR39" t="s">
        <v>262</v>
      </c>
      <c r="AS39">
        <v>512</v>
      </c>
      <c r="AT39" t="s">
        <v>257</v>
      </c>
      <c r="AU39" t="s">
        <v>292</v>
      </c>
      <c r="AV39" t="s">
        <v>257</v>
      </c>
      <c r="AW39" t="s">
        <v>292</v>
      </c>
    </row>
    <row r="40" spans="1:49" x14ac:dyDescent="0.3">
      <c r="A40" t="s">
        <v>364</v>
      </c>
      <c r="B40" t="s">
        <v>307</v>
      </c>
      <c r="C40" t="s">
        <v>299</v>
      </c>
      <c r="D40" t="s">
        <v>255</v>
      </c>
      <c r="E40" t="s">
        <v>352</v>
      </c>
      <c r="F40" t="s">
        <v>262</v>
      </c>
      <c r="G40" t="s">
        <v>281</v>
      </c>
      <c r="H40" t="s">
        <v>262</v>
      </c>
      <c r="I40" t="s">
        <v>282</v>
      </c>
      <c r="J40" t="s">
        <v>257</v>
      </c>
      <c r="K40" t="s">
        <v>259</v>
      </c>
      <c r="L40" t="s">
        <v>257</v>
      </c>
      <c r="M40" t="s">
        <v>260</v>
      </c>
      <c r="N40" t="s">
        <v>257</v>
      </c>
      <c r="O40" t="s">
        <v>259</v>
      </c>
      <c r="P40" t="s">
        <v>262</v>
      </c>
      <c r="Q40" t="s">
        <v>273</v>
      </c>
      <c r="R40" t="s">
        <v>262</v>
      </c>
      <c r="S40">
        <v>16</v>
      </c>
      <c r="T40" t="s">
        <v>262</v>
      </c>
      <c r="U40">
        <v>16384</v>
      </c>
      <c r="V40" t="s">
        <v>262</v>
      </c>
      <c r="W40">
        <v>8192</v>
      </c>
      <c r="X40" t="s">
        <v>262</v>
      </c>
      <c r="Y40" t="s">
        <v>264</v>
      </c>
      <c r="Z40" t="s">
        <v>257</v>
      </c>
      <c r="AA40">
        <v>2</v>
      </c>
      <c r="AB40" t="s">
        <v>262</v>
      </c>
      <c r="AC40" t="s">
        <v>274</v>
      </c>
      <c r="AD40" t="s">
        <v>262</v>
      </c>
      <c r="AE40" t="s">
        <v>275</v>
      </c>
      <c r="AF40" t="s">
        <v>262</v>
      </c>
      <c r="AG40" t="s">
        <v>266</v>
      </c>
      <c r="AH40" t="s">
        <v>269</v>
      </c>
      <c r="AI40" t="s">
        <v>365</v>
      </c>
      <c r="AJ40" t="s">
        <v>262</v>
      </c>
      <c r="AK40" t="s">
        <v>287</v>
      </c>
      <c r="AL40" t="s">
        <v>262</v>
      </c>
      <c r="AM40" t="s">
        <v>282</v>
      </c>
      <c r="AN40" t="s">
        <v>262</v>
      </c>
      <c r="AO40" t="s">
        <v>268</v>
      </c>
      <c r="AP40" t="s">
        <v>262</v>
      </c>
      <c r="AQ40">
        <v>128</v>
      </c>
      <c r="AR40" t="s">
        <v>262</v>
      </c>
      <c r="AS40">
        <v>2048</v>
      </c>
      <c r="AT40" t="s">
        <v>262</v>
      </c>
      <c r="AU40">
        <v>128</v>
      </c>
      <c r="AV40" t="s">
        <v>257</v>
      </c>
      <c r="AW40" t="s">
        <v>292</v>
      </c>
    </row>
    <row r="41" spans="1:49" x14ac:dyDescent="0.3">
      <c r="A41" t="s">
        <v>366</v>
      </c>
      <c r="B41" t="s">
        <v>332</v>
      </c>
      <c r="C41" t="s">
        <v>295</v>
      </c>
      <c r="D41" t="s">
        <v>255</v>
      </c>
      <c r="E41" t="s">
        <v>367</v>
      </c>
      <c r="F41" t="s">
        <v>262</v>
      </c>
      <c r="G41" t="s">
        <v>281</v>
      </c>
      <c r="H41" t="s">
        <v>262</v>
      </c>
      <c r="I41" t="s">
        <v>282</v>
      </c>
      <c r="J41" t="s">
        <v>262</v>
      </c>
      <c r="K41" t="s">
        <v>282</v>
      </c>
      <c r="L41" t="s">
        <v>262</v>
      </c>
      <c r="M41" t="s">
        <v>300</v>
      </c>
      <c r="N41" t="s">
        <v>262</v>
      </c>
      <c r="O41" t="s">
        <v>282</v>
      </c>
      <c r="P41" t="s">
        <v>262</v>
      </c>
      <c r="Q41" t="s">
        <v>273</v>
      </c>
      <c r="R41" t="s">
        <v>262</v>
      </c>
      <c r="S41" t="s">
        <v>281</v>
      </c>
      <c r="T41" t="s">
        <v>262</v>
      </c>
      <c r="U41" t="s">
        <v>296</v>
      </c>
      <c r="V41" t="s">
        <v>262</v>
      </c>
      <c r="W41">
        <v>8192</v>
      </c>
      <c r="X41" t="s">
        <v>262</v>
      </c>
      <c r="Y41" t="s">
        <v>264</v>
      </c>
      <c r="Z41" t="s">
        <v>262</v>
      </c>
      <c r="AA41" t="s">
        <v>281</v>
      </c>
      <c r="AB41" t="s">
        <v>262</v>
      </c>
      <c r="AC41" t="s">
        <v>274</v>
      </c>
      <c r="AD41" t="s">
        <v>262</v>
      </c>
      <c r="AE41" t="s">
        <v>275</v>
      </c>
      <c r="AF41" t="s">
        <v>262</v>
      </c>
      <c r="AG41" t="s">
        <v>266</v>
      </c>
      <c r="AH41" t="s">
        <v>262</v>
      </c>
      <c r="AI41" t="s">
        <v>277</v>
      </c>
      <c r="AJ41" t="s">
        <v>262</v>
      </c>
      <c r="AK41" t="s">
        <v>287</v>
      </c>
      <c r="AL41" t="s">
        <v>262</v>
      </c>
      <c r="AM41" t="s">
        <v>282</v>
      </c>
      <c r="AN41" t="s">
        <v>262</v>
      </c>
      <c r="AO41" t="s">
        <v>268</v>
      </c>
      <c r="AP41" t="s">
        <v>262</v>
      </c>
      <c r="AQ41">
        <v>128</v>
      </c>
      <c r="AR41" t="s">
        <v>262</v>
      </c>
      <c r="AS41">
        <v>512</v>
      </c>
      <c r="AT41" t="s">
        <v>262</v>
      </c>
      <c r="AU41">
        <v>256</v>
      </c>
      <c r="AV41" t="s">
        <v>257</v>
      </c>
      <c r="AW41">
        <v>32</v>
      </c>
    </row>
    <row r="42" spans="1:49" x14ac:dyDescent="0.3">
      <c r="A42" t="s">
        <v>44</v>
      </c>
      <c r="B42" t="s">
        <v>253</v>
      </c>
      <c r="C42" t="s">
        <v>336</v>
      </c>
      <c r="D42" t="s">
        <v>255</v>
      </c>
      <c r="E42" t="s">
        <v>367</v>
      </c>
      <c r="F42" t="s">
        <v>262</v>
      </c>
      <c r="G42" t="s">
        <v>281</v>
      </c>
      <c r="H42" t="s">
        <v>262</v>
      </c>
      <c r="I42" t="s">
        <v>282</v>
      </c>
      <c r="J42" t="s">
        <v>262</v>
      </c>
      <c r="K42" t="s">
        <v>282</v>
      </c>
      <c r="L42" t="s">
        <v>262</v>
      </c>
      <c r="M42" t="s">
        <v>300</v>
      </c>
      <c r="N42" t="s">
        <v>262</v>
      </c>
      <c r="O42" t="s">
        <v>282</v>
      </c>
      <c r="P42" t="s">
        <v>257</v>
      </c>
      <c r="Q42" t="s">
        <v>363</v>
      </c>
      <c r="R42" t="s">
        <v>262</v>
      </c>
      <c r="S42" t="s">
        <v>281</v>
      </c>
      <c r="T42" t="s">
        <v>262</v>
      </c>
      <c r="U42" t="s">
        <v>296</v>
      </c>
      <c r="V42" t="s">
        <v>262</v>
      </c>
      <c r="W42">
        <v>8192</v>
      </c>
      <c r="X42" t="s">
        <v>262</v>
      </c>
      <c r="Y42" t="s">
        <v>264</v>
      </c>
      <c r="Z42" t="s">
        <v>262</v>
      </c>
      <c r="AA42" t="s">
        <v>281</v>
      </c>
      <c r="AB42" t="s">
        <v>262</v>
      </c>
      <c r="AC42" t="s">
        <v>274</v>
      </c>
      <c r="AD42" t="s">
        <v>262</v>
      </c>
      <c r="AE42" t="s">
        <v>275</v>
      </c>
      <c r="AF42" t="s">
        <v>262</v>
      </c>
      <c r="AG42" t="s">
        <v>266</v>
      </c>
      <c r="AH42" t="s">
        <v>262</v>
      </c>
      <c r="AI42" t="s">
        <v>277</v>
      </c>
      <c r="AJ42" t="s">
        <v>262</v>
      </c>
      <c r="AK42" t="s">
        <v>287</v>
      </c>
      <c r="AL42" t="s">
        <v>262</v>
      </c>
      <c r="AM42" t="s">
        <v>282</v>
      </c>
      <c r="AN42" t="s">
        <v>262</v>
      </c>
      <c r="AO42" t="s">
        <v>268</v>
      </c>
      <c r="AP42" t="s">
        <v>262</v>
      </c>
      <c r="AQ42">
        <v>16</v>
      </c>
      <c r="AR42" t="s">
        <v>262</v>
      </c>
      <c r="AS42" t="s">
        <v>297</v>
      </c>
      <c r="AT42" t="s">
        <v>262</v>
      </c>
      <c r="AU42" t="s">
        <v>293</v>
      </c>
      <c r="AV42" t="s">
        <v>269</v>
      </c>
      <c r="AW42">
        <v>128</v>
      </c>
    </row>
    <row r="43" spans="1:49" x14ac:dyDescent="0.3">
      <c r="A43" t="s">
        <v>45</v>
      </c>
      <c r="B43" t="s">
        <v>307</v>
      </c>
      <c r="C43" t="s">
        <v>349</v>
      </c>
      <c r="D43" t="s">
        <v>255</v>
      </c>
      <c r="E43" t="s">
        <v>367</v>
      </c>
      <c r="F43" t="s">
        <v>269</v>
      </c>
      <c r="G43">
        <v>32</v>
      </c>
      <c r="H43" t="s">
        <v>257</v>
      </c>
      <c r="I43">
        <v>2</v>
      </c>
      <c r="J43" t="s">
        <v>262</v>
      </c>
      <c r="K43" t="s">
        <v>282</v>
      </c>
      <c r="L43" t="s">
        <v>262</v>
      </c>
      <c r="M43" t="s">
        <v>300</v>
      </c>
      <c r="N43" t="s">
        <v>262</v>
      </c>
      <c r="O43" t="s">
        <v>282</v>
      </c>
      <c r="P43" t="s">
        <v>262</v>
      </c>
      <c r="Q43" t="s">
        <v>273</v>
      </c>
      <c r="R43" t="s">
        <v>262</v>
      </c>
      <c r="S43" t="s">
        <v>281</v>
      </c>
      <c r="T43" t="s">
        <v>262</v>
      </c>
      <c r="U43" t="s">
        <v>296</v>
      </c>
      <c r="V43" t="s">
        <v>262</v>
      </c>
      <c r="W43">
        <v>2048</v>
      </c>
      <c r="X43" t="s">
        <v>262</v>
      </c>
      <c r="Y43" t="s">
        <v>264</v>
      </c>
      <c r="Z43" t="s">
        <v>262</v>
      </c>
      <c r="AA43" t="s">
        <v>281</v>
      </c>
      <c r="AB43" t="s">
        <v>262</v>
      </c>
      <c r="AC43" t="s">
        <v>274</v>
      </c>
      <c r="AD43" t="s">
        <v>262</v>
      </c>
      <c r="AE43" t="s">
        <v>275</v>
      </c>
      <c r="AF43" t="s">
        <v>262</v>
      </c>
      <c r="AG43" t="s">
        <v>266</v>
      </c>
      <c r="AH43" t="s">
        <v>262</v>
      </c>
      <c r="AI43" t="s">
        <v>277</v>
      </c>
      <c r="AJ43" t="s">
        <v>262</v>
      </c>
      <c r="AK43" t="s">
        <v>287</v>
      </c>
      <c r="AL43" t="s">
        <v>262</v>
      </c>
      <c r="AM43" t="s">
        <v>282</v>
      </c>
      <c r="AN43" t="s">
        <v>257</v>
      </c>
      <c r="AO43" t="s">
        <v>330</v>
      </c>
      <c r="AP43" t="s">
        <v>269</v>
      </c>
      <c r="AQ43">
        <v>8</v>
      </c>
      <c r="AR43" t="s">
        <v>262</v>
      </c>
      <c r="AS43">
        <v>512</v>
      </c>
      <c r="AT43" t="s">
        <v>262</v>
      </c>
      <c r="AU43" t="s">
        <v>293</v>
      </c>
      <c r="AV43" t="s">
        <v>269</v>
      </c>
      <c r="AW43">
        <v>128</v>
      </c>
    </row>
    <row r="44" spans="1:49" x14ac:dyDescent="0.3">
      <c r="A44" t="s">
        <v>46</v>
      </c>
      <c r="B44" t="s">
        <v>368</v>
      </c>
      <c r="C44" t="s">
        <v>369</v>
      </c>
      <c r="D44" t="s">
        <v>255</v>
      </c>
      <c r="E44" t="s">
        <v>367</v>
      </c>
      <c r="F44" t="s">
        <v>262</v>
      </c>
      <c r="G44" t="s">
        <v>281</v>
      </c>
      <c r="H44" t="s">
        <v>269</v>
      </c>
      <c r="I44">
        <v>8</v>
      </c>
      <c r="J44" t="s">
        <v>262</v>
      </c>
      <c r="K44" t="s">
        <v>282</v>
      </c>
      <c r="L44" t="s">
        <v>262</v>
      </c>
      <c r="M44" t="s">
        <v>300</v>
      </c>
      <c r="N44" t="s">
        <v>262</v>
      </c>
      <c r="O44" t="s">
        <v>272</v>
      </c>
      <c r="P44" t="s">
        <v>257</v>
      </c>
      <c r="Q44" t="s">
        <v>290</v>
      </c>
      <c r="R44" t="s">
        <v>262</v>
      </c>
      <c r="S44" t="s">
        <v>281</v>
      </c>
      <c r="T44" t="s">
        <v>262</v>
      </c>
      <c r="U44">
        <v>16384</v>
      </c>
      <c r="V44" t="s">
        <v>262</v>
      </c>
      <c r="W44">
        <v>4096</v>
      </c>
      <c r="X44" t="s">
        <v>262</v>
      </c>
      <c r="Y44" t="s">
        <v>264</v>
      </c>
      <c r="Z44" t="s">
        <v>262</v>
      </c>
      <c r="AA44" t="s">
        <v>281</v>
      </c>
      <c r="AB44" t="s">
        <v>262</v>
      </c>
      <c r="AC44" t="s">
        <v>274</v>
      </c>
      <c r="AD44" t="s">
        <v>262</v>
      </c>
      <c r="AE44" t="s">
        <v>275</v>
      </c>
      <c r="AF44" t="s">
        <v>262</v>
      </c>
      <c r="AG44" t="s">
        <v>266</v>
      </c>
      <c r="AH44" t="s">
        <v>262</v>
      </c>
      <c r="AI44" t="s">
        <v>277</v>
      </c>
      <c r="AJ44" t="s">
        <v>262</v>
      </c>
      <c r="AK44" t="s">
        <v>287</v>
      </c>
      <c r="AL44" t="s">
        <v>262</v>
      </c>
      <c r="AM44" t="s">
        <v>282</v>
      </c>
      <c r="AN44" t="s">
        <v>262</v>
      </c>
      <c r="AO44" t="s">
        <v>268</v>
      </c>
      <c r="AP44" t="s">
        <v>262</v>
      </c>
      <c r="AQ44">
        <v>32</v>
      </c>
      <c r="AR44" t="s">
        <v>262</v>
      </c>
      <c r="AS44">
        <v>512</v>
      </c>
      <c r="AT44" t="s">
        <v>262</v>
      </c>
      <c r="AU44" t="s">
        <v>293</v>
      </c>
      <c r="AV44" t="s">
        <v>262</v>
      </c>
      <c r="AW44" t="s">
        <v>305</v>
      </c>
    </row>
    <row r="45" spans="1:49" x14ac:dyDescent="0.3">
      <c r="A45" t="s">
        <v>47</v>
      </c>
      <c r="B45" t="s">
        <v>307</v>
      </c>
      <c r="C45" t="s">
        <v>308</v>
      </c>
      <c r="D45" t="s">
        <v>280</v>
      </c>
      <c r="E45" t="s">
        <v>367</v>
      </c>
      <c r="F45" t="s">
        <v>257</v>
      </c>
      <c r="G45" t="s">
        <v>258</v>
      </c>
      <c r="H45" t="s">
        <v>257</v>
      </c>
      <c r="I45" t="s">
        <v>284</v>
      </c>
      <c r="J45" t="s">
        <v>257</v>
      </c>
      <c r="K45">
        <v>1</v>
      </c>
      <c r="L45" t="s">
        <v>257</v>
      </c>
      <c r="M45" t="s">
        <v>260</v>
      </c>
      <c r="N45" t="s">
        <v>257</v>
      </c>
      <c r="O45" t="s">
        <v>259</v>
      </c>
      <c r="P45" t="s">
        <v>257</v>
      </c>
      <c r="Q45" t="s">
        <v>370</v>
      </c>
      <c r="R45" t="s">
        <v>262</v>
      </c>
      <c r="S45">
        <v>16</v>
      </c>
      <c r="T45" t="s">
        <v>262</v>
      </c>
      <c r="U45">
        <v>8192</v>
      </c>
      <c r="V45" t="s">
        <v>262</v>
      </c>
      <c r="W45">
        <v>1024</v>
      </c>
      <c r="X45" t="s">
        <v>257</v>
      </c>
      <c r="Y45" t="s">
        <v>284</v>
      </c>
      <c r="Z45" t="s">
        <v>262</v>
      </c>
      <c r="AA45" t="s">
        <v>281</v>
      </c>
      <c r="AB45" t="s">
        <v>262</v>
      </c>
      <c r="AC45" t="s">
        <v>274</v>
      </c>
      <c r="AD45" t="s">
        <v>283</v>
      </c>
      <c r="AE45" t="s">
        <v>371</v>
      </c>
      <c r="AF45" t="s">
        <v>262</v>
      </c>
      <c r="AG45" t="s">
        <v>310</v>
      </c>
      <c r="AH45" t="s">
        <v>257</v>
      </c>
      <c r="AI45" t="s">
        <v>265</v>
      </c>
      <c r="AJ45" t="s">
        <v>262</v>
      </c>
      <c r="AK45">
        <v>1</v>
      </c>
      <c r="AL45" t="s">
        <v>257</v>
      </c>
      <c r="AM45">
        <v>4</v>
      </c>
      <c r="AN45" t="s">
        <v>257</v>
      </c>
      <c r="AO45" t="s">
        <v>330</v>
      </c>
      <c r="AP45" t="s">
        <v>262</v>
      </c>
      <c r="AQ45">
        <v>64</v>
      </c>
      <c r="AR45" t="s">
        <v>257</v>
      </c>
      <c r="AS45" t="s">
        <v>292</v>
      </c>
      <c r="AT45" t="s">
        <v>262</v>
      </c>
      <c r="AU45">
        <v>128</v>
      </c>
      <c r="AV45" t="s">
        <v>257</v>
      </c>
      <c r="AW45">
        <v>64</v>
      </c>
    </row>
    <row r="46" spans="1:49" x14ac:dyDescent="0.3">
      <c r="A46" t="s">
        <v>48</v>
      </c>
      <c r="B46" t="s">
        <v>368</v>
      </c>
      <c r="C46" t="s">
        <v>372</v>
      </c>
      <c r="D46" t="s">
        <v>255</v>
      </c>
      <c r="E46" t="s">
        <v>367</v>
      </c>
      <c r="F46" t="s">
        <v>257</v>
      </c>
      <c r="G46" t="s">
        <v>258</v>
      </c>
      <c r="H46" t="s">
        <v>257</v>
      </c>
      <c r="I46" t="s">
        <v>284</v>
      </c>
      <c r="J46" t="s">
        <v>257</v>
      </c>
      <c r="K46">
        <v>1</v>
      </c>
      <c r="L46" t="s">
        <v>257</v>
      </c>
      <c r="M46" t="s">
        <v>260</v>
      </c>
      <c r="N46" t="s">
        <v>257</v>
      </c>
      <c r="O46" t="s">
        <v>260</v>
      </c>
      <c r="P46" t="s">
        <v>257</v>
      </c>
      <c r="Q46" t="s">
        <v>304</v>
      </c>
      <c r="R46" t="s">
        <v>262</v>
      </c>
      <c r="S46" t="s">
        <v>281</v>
      </c>
      <c r="T46" t="s">
        <v>262</v>
      </c>
      <c r="U46">
        <v>8192</v>
      </c>
      <c r="V46" t="s">
        <v>262</v>
      </c>
      <c r="W46">
        <v>1024</v>
      </c>
      <c r="X46" t="s">
        <v>262</v>
      </c>
      <c r="Y46" t="s">
        <v>264</v>
      </c>
      <c r="Z46" t="s">
        <v>262</v>
      </c>
      <c r="AA46" t="s">
        <v>281</v>
      </c>
      <c r="AB46" t="s">
        <v>262</v>
      </c>
      <c r="AC46" t="s">
        <v>274</v>
      </c>
      <c r="AD46" t="s">
        <v>262</v>
      </c>
      <c r="AE46" t="s">
        <v>373</v>
      </c>
      <c r="AF46" t="s">
        <v>262</v>
      </c>
      <c r="AG46" t="s">
        <v>266</v>
      </c>
      <c r="AH46" t="s">
        <v>257</v>
      </c>
      <c r="AI46" t="s">
        <v>267</v>
      </c>
      <c r="AJ46" t="s">
        <v>262</v>
      </c>
      <c r="AK46">
        <v>1</v>
      </c>
      <c r="AL46" t="s">
        <v>257</v>
      </c>
      <c r="AM46">
        <v>2</v>
      </c>
      <c r="AN46" t="s">
        <v>262</v>
      </c>
      <c r="AO46" t="s">
        <v>268</v>
      </c>
      <c r="AP46" t="s">
        <v>262</v>
      </c>
      <c r="AQ46">
        <v>128</v>
      </c>
      <c r="AR46" t="s">
        <v>262</v>
      </c>
      <c r="AS46">
        <v>512</v>
      </c>
      <c r="AT46" t="s">
        <v>262</v>
      </c>
      <c r="AU46">
        <v>256</v>
      </c>
      <c r="AV46" t="s">
        <v>257</v>
      </c>
      <c r="AW46">
        <v>64</v>
      </c>
    </row>
    <row r="47" spans="1:49" x14ac:dyDescent="0.3">
      <c r="A47" t="s">
        <v>49</v>
      </c>
      <c r="B47" t="s">
        <v>307</v>
      </c>
      <c r="C47" t="s">
        <v>374</v>
      </c>
      <c r="D47" t="s">
        <v>255</v>
      </c>
      <c r="E47" t="s">
        <v>367</v>
      </c>
      <c r="F47" t="s">
        <v>262</v>
      </c>
      <c r="G47" t="s">
        <v>281</v>
      </c>
      <c r="H47" t="s">
        <v>262</v>
      </c>
      <c r="I47" t="s">
        <v>282</v>
      </c>
      <c r="J47" t="s">
        <v>262</v>
      </c>
      <c r="K47" t="s">
        <v>282</v>
      </c>
      <c r="L47" t="s">
        <v>262</v>
      </c>
      <c r="M47" t="s">
        <v>300</v>
      </c>
      <c r="N47" t="s">
        <v>262</v>
      </c>
      <c r="O47" t="s">
        <v>282</v>
      </c>
      <c r="P47" t="s">
        <v>262</v>
      </c>
      <c r="Q47" t="s">
        <v>273</v>
      </c>
      <c r="R47" t="s">
        <v>262</v>
      </c>
      <c r="S47" t="s">
        <v>281</v>
      </c>
      <c r="T47" t="s">
        <v>262</v>
      </c>
      <c r="U47">
        <v>8192</v>
      </c>
      <c r="V47" t="s">
        <v>262</v>
      </c>
      <c r="W47" t="s">
        <v>375</v>
      </c>
      <c r="X47" t="s">
        <v>262</v>
      </c>
      <c r="Y47" t="s">
        <v>264</v>
      </c>
      <c r="Z47" t="s">
        <v>262</v>
      </c>
      <c r="AA47" t="s">
        <v>281</v>
      </c>
      <c r="AB47" t="s">
        <v>262</v>
      </c>
      <c r="AC47" t="s">
        <v>274</v>
      </c>
      <c r="AD47" t="s">
        <v>262</v>
      </c>
      <c r="AE47" t="s">
        <v>275</v>
      </c>
      <c r="AF47" t="s">
        <v>262</v>
      </c>
      <c r="AG47" t="s">
        <v>266</v>
      </c>
      <c r="AH47" t="s">
        <v>262</v>
      </c>
      <c r="AI47" t="s">
        <v>277</v>
      </c>
      <c r="AJ47" t="s">
        <v>262</v>
      </c>
      <c r="AK47" t="s">
        <v>287</v>
      </c>
      <c r="AL47" t="s">
        <v>262</v>
      </c>
      <c r="AM47" t="s">
        <v>282</v>
      </c>
      <c r="AN47" t="s">
        <v>262</v>
      </c>
      <c r="AO47" t="s">
        <v>268</v>
      </c>
      <c r="AP47" t="s">
        <v>262</v>
      </c>
      <c r="AQ47">
        <v>128</v>
      </c>
      <c r="AR47" t="s">
        <v>262</v>
      </c>
      <c r="AS47">
        <v>512</v>
      </c>
      <c r="AT47" t="s">
        <v>262</v>
      </c>
      <c r="AU47" t="s">
        <v>293</v>
      </c>
      <c r="AV47" t="s">
        <v>257</v>
      </c>
      <c r="AW47" t="s">
        <v>292</v>
      </c>
    </row>
    <row r="48" spans="1:49" x14ac:dyDescent="0.3">
      <c r="A48" t="s">
        <v>376</v>
      </c>
      <c r="B48" t="s">
        <v>307</v>
      </c>
      <c r="C48" t="s">
        <v>377</v>
      </c>
      <c r="D48" t="s">
        <v>280</v>
      </c>
      <c r="E48" t="s">
        <v>367</v>
      </c>
      <c r="F48" t="s">
        <v>262</v>
      </c>
      <c r="G48" t="s">
        <v>281</v>
      </c>
      <c r="H48" t="s">
        <v>262</v>
      </c>
      <c r="I48" t="s">
        <v>282</v>
      </c>
      <c r="J48" t="s">
        <v>262</v>
      </c>
      <c r="K48" t="s">
        <v>282</v>
      </c>
      <c r="L48" t="s">
        <v>262</v>
      </c>
      <c r="M48" t="s">
        <v>300</v>
      </c>
      <c r="N48" t="s">
        <v>262</v>
      </c>
      <c r="O48" t="s">
        <v>282</v>
      </c>
      <c r="P48" t="s">
        <v>262</v>
      </c>
      <c r="Q48" t="s">
        <v>273</v>
      </c>
      <c r="R48" t="s">
        <v>262</v>
      </c>
      <c r="S48" t="s">
        <v>281</v>
      </c>
      <c r="T48" t="s">
        <v>262</v>
      </c>
      <c r="U48">
        <v>8192</v>
      </c>
      <c r="V48" t="s">
        <v>262</v>
      </c>
      <c r="W48" t="s">
        <v>375</v>
      </c>
      <c r="X48" t="s">
        <v>262</v>
      </c>
      <c r="Y48" t="s">
        <v>264</v>
      </c>
      <c r="Z48" t="s">
        <v>262</v>
      </c>
      <c r="AA48" t="s">
        <v>281</v>
      </c>
      <c r="AB48" t="s">
        <v>262</v>
      </c>
      <c r="AC48" t="s">
        <v>274</v>
      </c>
      <c r="AD48" t="s">
        <v>262</v>
      </c>
      <c r="AE48" t="s">
        <v>275</v>
      </c>
      <c r="AF48" t="s">
        <v>262</v>
      </c>
      <c r="AG48" t="s">
        <v>266</v>
      </c>
      <c r="AH48" t="s">
        <v>262</v>
      </c>
      <c r="AI48" t="s">
        <v>277</v>
      </c>
      <c r="AJ48" t="s">
        <v>262</v>
      </c>
      <c r="AK48" t="s">
        <v>287</v>
      </c>
      <c r="AL48" t="s">
        <v>262</v>
      </c>
      <c r="AM48" t="s">
        <v>282</v>
      </c>
      <c r="AN48" t="s">
        <v>262</v>
      </c>
      <c r="AO48" t="s">
        <v>268</v>
      </c>
      <c r="AP48" t="s">
        <v>262</v>
      </c>
      <c r="AQ48">
        <v>64</v>
      </c>
      <c r="AR48" t="s">
        <v>262</v>
      </c>
      <c r="AS48">
        <v>512</v>
      </c>
      <c r="AT48" t="s">
        <v>262</v>
      </c>
      <c r="AU48" t="s">
        <v>293</v>
      </c>
      <c r="AV48" t="s">
        <v>257</v>
      </c>
      <c r="AW48">
        <v>64</v>
      </c>
    </row>
    <row r="49" spans="1:49" x14ac:dyDescent="0.3">
      <c r="A49" t="s">
        <v>50</v>
      </c>
      <c r="B49" t="s">
        <v>307</v>
      </c>
      <c r="C49" t="s">
        <v>378</v>
      </c>
      <c r="D49" t="s">
        <v>280</v>
      </c>
      <c r="E49" t="s">
        <v>367</v>
      </c>
      <c r="F49" t="s">
        <v>257</v>
      </c>
      <c r="G49">
        <v>16</v>
      </c>
      <c r="H49" t="s">
        <v>257</v>
      </c>
      <c r="I49" t="s">
        <v>284</v>
      </c>
      <c r="J49" t="s">
        <v>262</v>
      </c>
      <c r="K49" t="s">
        <v>282</v>
      </c>
      <c r="L49" t="s">
        <v>262</v>
      </c>
      <c r="M49" t="s">
        <v>300</v>
      </c>
      <c r="N49" t="s">
        <v>262</v>
      </c>
      <c r="O49">
        <v>8</v>
      </c>
      <c r="P49" t="s">
        <v>262</v>
      </c>
      <c r="Q49" t="s">
        <v>273</v>
      </c>
      <c r="R49" t="s">
        <v>262</v>
      </c>
      <c r="S49" t="s">
        <v>281</v>
      </c>
      <c r="T49" t="s">
        <v>262</v>
      </c>
      <c r="U49" t="s">
        <v>296</v>
      </c>
      <c r="V49" t="s">
        <v>262</v>
      </c>
      <c r="W49">
        <v>2048</v>
      </c>
      <c r="X49" t="s">
        <v>262</v>
      </c>
      <c r="Y49" t="s">
        <v>264</v>
      </c>
      <c r="Z49" t="s">
        <v>262</v>
      </c>
      <c r="AA49" t="s">
        <v>281</v>
      </c>
      <c r="AB49" t="s">
        <v>262</v>
      </c>
      <c r="AC49" t="s">
        <v>274</v>
      </c>
      <c r="AD49" t="s">
        <v>262</v>
      </c>
      <c r="AE49" t="s">
        <v>275</v>
      </c>
      <c r="AF49" t="s">
        <v>262</v>
      </c>
      <c r="AG49" t="s">
        <v>310</v>
      </c>
      <c r="AH49" t="s">
        <v>262</v>
      </c>
      <c r="AI49" t="s">
        <v>277</v>
      </c>
      <c r="AJ49" t="s">
        <v>262</v>
      </c>
      <c r="AK49" t="s">
        <v>287</v>
      </c>
      <c r="AL49" t="s">
        <v>262</v>
      </c>
      <c r="AM49" t="s">
        <v>282</v>
      </c>
      <c r="AN49" t="s">
        <v>262</v>
      </c>
      <c r="AO49" t="s">
        <v>379</v>
      </c>
      <c r="AP49" t="s">
        <v>262</v>
      </c>
      <c r="AQ49">
        <v>32</v>
      </c>
      <c r="AR49" t="s">
        <v>262</v>
      </c>
      <c r="AS49">
        <v>1024</v>
      </c>
      <c r="AT49" t="s">
        <v>262</v>
      </c>
      <c r="AU49">
        <v>128</v>
      </c>
      <c r="AV49" t="s">
        <v>257</v>
      </c>
      <c r="AW49" t="s">
        <v>292</v>
      </c>
    </row>
    <row r="50" spans="1:49" x14ac:dyDescent="0.3">
      <c r="A50" t="s">
        <v>380</v>
      </c>
      <c r="B50" t="s">
        <v>288</v>
      </c>
      <c r="C50" t="s">
        <v>381</v>
      </c>
      <c r="D50" t="s">
        <v>255</v>
      </c>
      <c r="E50" t="s">
        <v>367</v>
      </c>
      <c r="F50" t="s">
        <v>262</v>
      </c>
      <c r="G50" t="s">
        <v>281</v>
      </c>
      <c r="H50" t="s">
        <v>257</v>
      </c>
      <c r="I50">
        <v>4</v>
      </c>
      <c r="J50" t="s">
        <v>262</v>
      </c>
      <c r="K50" t="s">
        <v>282</v>
      </c>
      <c r="L50" t="s">
        <v>262</v>
      </c>
      <c r="M50" t="s">
        <v>300</v>
      </c>
      <c r="N50" t="s">
        <v>262</v>
      </c>
      <c r="O50" t="s">
        <v>282</v>
      </c>
      <c r="P50" t="s">
        <v>262</v>
      </c>
      <c r="Q50" t="s">
        <v>273</v>
      </c>
      <c r="R50" t="s">
        <v>262</v>
      </c>
      <c r="S50" t="s">
        <v>281</v>
      </c>
      <c r="T50" t="s">
        <v>262</v>
      </c>
      <c r="U50">
        <v>16384</v>
      </c>
      <c r="V50" t="s">
        <v>262</v>
      </c>
      <c r="W50">
        <v>4096</v>
      </c>
      <c r="X50" t="s">
        <v>262</v>
      </c>
      <c r="Y50" t="s">
        <v>264</v>
      </c>
      <c r="Z50" t="s">
        <v>262</v>
      </c>
      <c r="AA50" t="s">
        <v>281</v>
      </c>
      <c r="AB50" t="s">
        <v>262</v>
      </c>
      <c r="AC50" t="s">
        <v>274</v>
      </c>
      <c r="AD50" t="s">
        <v>262</v>
      </c>
      <c r="AE50" t="s">
        <v>275</v>
      </c>
      <c r="AF50" t="s">
        <v>262</v>
      </c>
      <c r="AG50" t="s">
        <v>310</v>
      </c>
      <c r="AH50" t="s">
        <v>262</v>
      </c>
      <c r="AI50" t="s">
        <v>277</v>
      </c>
      <c r="AJ50" t="s">
        <v>262</v>
      </c>
      <c r="AK50" t="s">
        <v>287</v>
      </c>
      <c r="AL50" t="s">
        <v>262</v>
      </c>
      <c r="AM50" t="s">
        <v>282</v>
      </c>
      <c r="AN50" t="s">
        <v>262</v>
      </c>
      <c r="AO50" t="s">
        <v>268</v>
      </c>
      <c r="AP50" t="s">
        <v>262</v>
      </c>
      <c r="AQ50">
        <v>16</v>
      </c>
      <c r="AR50" t="s">
        <v>262</v>
      </c>
      <c r="AS50">
        <v>1024</v>
      </c>
      <c r="AT50" t="s">
        <v>262</v>
      </c>
      <c r="AU50">
        <v>256</v>
      </c>
      <c r="AV50" t="s">
        <v>269</v>
      </c>
      <c r="AW50">
        <v>128</v>
      </c>
    </row>
    <row r="51" spans="1:49" x14ac:dyDescent="0.3">
      <c r="A51" t="s">
        <v>382</v>
      </c>
      <c r="B51" t="s">
        <v>383</v>
      </c>
      <c r="C51" t="s">
        <v>384</v>
      </c>
      <c r="D51" t="s">
        <v>280</v>
      </c>
      <c r="E51" t="s">
        <v>367</v>
      </c>
      <c r="F51" t="s">
        <v>262</v>
      </c>
      <c r="G51" t="s">
        <v>281</v>
      </c>
      <c r="H51" t="s">
        <v>262</v>
      </c>
      <c r="I51" t="s">
        <v>282</v>
      </c>
      <c r="J51" t="s">
        <v>262</v>
      </c>
      <c r="K51" t="s">
        <v>282</v>
      </c>
      <c r="L51" t="s">
        <v>262</v>
      </c>
      <c r="M51" t="s">
        <v>300</v>
      </c>
      <c r="N51" t="s">
        <v>262</v>
      </c>
      <c r="O51" t="s">
        <v>282</v>
      </c>
      <c r="P51" t="s">
        <v>262</v>
      </c>
      <c r="Q51" t="s">
        <v>273</v>
      </c>
      <c r="R51" t="s">
        <v>262</v>
      </c>
      <c r="S51" t="s">
        <v>281</v>
      </c>
      <c r="T51" t="s">
        <v>262</v>
      </c>
      <c r="U51">
        <v>4096</v>
      </c>
      <c r="V51" t="s">
        <v>262</v>
      </c>
      <c r="W51" t="s">
        <v>375</v>
      </c>
      <c r="X51" t="s">
        <v>262</v>
      </c>
      <c r="Y51" t="s">
        <v>264</v>
      </c>
      <c r="Z51" t="s">
        <v>262</v>
      </c>
      <c r="AA51">
        <v>16</v>
      </c>
      <c r="AB51" t="s">
        <v>262</v>
      </c>
      <c r="AC51" t="s">
        <v>274</v>
      </c>
      <c r="AD51" t="s">
        <v>262</v>
      </c>
      <c r="AE51" t="s">
        <v>275</v>
      </c>
      <c r="AF51" t="s">
        <v>262</v>
      </c>
      <c r="AG51" t="s">
        <v>310</v>
      </c>
      <c r="AH51" t="s">
        <v>262</v>
      </c>
      <c r="AI51" t="s">
        <v>277</v>
      </c>
      <c r="AJ51" t="s">
        <v>262</v>
      </c>
      <c r="AK51">
        <v>1</v>
      </c>
      <c r="AL51" t="s">
        <v>257</v>
      </c>
      <c r="AM51">
        <v>2</v>
      </c>
      <c r="AN51" t="s">
        <v>262</v>
      </c>
      <c r="AO51" t="s">
        <v>268</v>
      </c>
      <c r="AP51" t="s">
        <v>262</v>
      </c>
      <c r="AQ51">
        <v>128</v>
      </c>
      <c r="AR51" t="s">
        <v>262</v>
      </c>
      <c r="AS51">
        <v>1024</v>
      </c>
      <c r="AT51" t="s">
        <v>257</v>
      </c>
      <c r="AU51">
        <v>32</v>
      </c>
      <c r="AV51" t="s">
        <v>257</v>
      </c>
      <c r="AW51" t="s">
        <v>292</v>
      </c>
    </row>
    <row r="52" spans="1:49" x14ac:dyDescent="0.3">
      <c r="A52" t="s">
        <v>385</v>
      </c>
      <c r="B52" t="s">
        <v>368</v>
      </c>
      <c r="C52" t="s">
        <v>386</v>
      </c>
      <c r="D52" t="s">
        <v>255</v>
      </c>
      <c r="E52" t="s">
        <v>367</v>
      </c>
      <c r="F52" t="s">
        <v>262</v>
      </c>
      <c r="G52" t="s">
        <v>281</v>
      </c>
      <c r="H52" t="s">
        <v>257</v>
      </c>
      <c r="I52">
        <v>4</v>
      </c>
      <c r="J52" t="s">
        <v>262</v>
      </c>
      <c r="K52" t="s">
        <v>282</v>
      </c>
      <c r="L52" t="s">
        <v>262</v>
      </c>
      <c r="M52" t="s">
        <v>300</v>
      </c>
      <c r="N52" t="s">
        <v>262</v>
      </c>
      <c r="O52" t="s">
        <v>282</v>
      </c>
      <c r="P52" t="s">
        <v>262</v>
      </c>
      <c r="Q52" t="s">
        <v>273</v>
      </c>
      <c r="R52" t="s">
        <v>262</v>
      </c>
      <c r="S52" t="s">
        <v>281</v>
      </c>
      <c r="T52" t="s">
        <v>262</v>
      </c>
      <c r="U52">
        <v>16384</v>
      </c>
      <c r="V52" t="s">
        <v>262</v>
      </c>
      <c r="W52">
        <v>4096</v>
      </c>
      <c r="X52" t="s">
        <v>262</v>
      </c>
      <c r="Y52" t="s">
        <v>264</v>
      </c>
      <c r="Z52" t="s">
        <v>262</v>
      </c>
      <c r="AA52" t="s">
        <v>281</v>
      </c>
      <c r="AB52" t="s">
        <v>262</v>
      </c>
      <c r="AC52" t="s">
        <v>274</v>
      </c>
      <c r="AD52" t="s">
        <v>262</v>
      </c>
      <c r="AE52" t="s">
        <v>275</v>
      </c>
      <c r="AF52" t="s">
        <v>262</v>
      </c>
      <c r="AG52" t="s">
        <v>387</v>
      </c>
      <c r="AH52" t="s">
        <v>262</v>
      </c>
      <c r="AI52" t="s">
        <v>277</v>
      </c>
      <c r="AJ52" t="s">
        <v>262</v>
      </c>
      <c r="AK52" t="s">
        <v>287</v>
      </c>
      <c r="AL52" t="s">
        <v>262</v>
      </c>
      <c r="AM52" t="s">
        <v>282</v>
      </c>
      <c r="AN52" t="s">
        <v>262</v>
      </c>
      <c r="AO52" t="s">
        <v>268</v>
      </c>
      <c r="AP52" t="s">
        <v>262</v>
      </c>
      <c r="AQ52">
        <v>16</v>
      </c>
      <c r="AR52" t="s">
        <v>262</v>
      </c>
      <c r="AS52">
        <v>2048</v>
      </c>
      <c r="AT52" t="s">
        <v>262</v>
      </c>
      <c r="AU52" t="s">
        <v>293</v>
      </c>
      <c r="AV52" t="s">
        <v>257</v>
      </c>
      <c r="AW52" t="s">
        <v>292</v>
      </c>
    </row>
    <row r="53" spans="1:49" x14ac:dyDescent="0.3">
      <c r="A53" t="s">
        <v>51</v>
      </c>
      <c r="B53" t="s">
        <v>307</v>
      </c>
      <c r="C53" t="s">
        <v>271</v>
      </c>
      <c r="D53" t="s">
        <v>255</v>
      </c>
      <c r="E53" t="s">
        <v>388</v>
      </c>
      <c r="F53" t="s">
        <v>257</v>
      </c>
      <c r="G53">
        <v>16</v>
      </c>
      <c r="H53" t="s">
        <v>257</v>
      </c>
      <c r="I53">
        <v>4</v>
      </c>
      <c r="J53" t="s">
        <v>262</v>
      </c>
      <c r="K53" t="s">
        <v>282</v>
      </c>
      <c r="L53" t="s">
        <v>262</v>
      </c>
      <c r="M53" t="s">
        <v>300</v>
      </c>
      <c r="N53" t="s">
        <v>262</v>
      </c>
      <c r="O53" t="s">
        <v>282</v>
      </c>
      <c r="P53" t="s">
        <v>262</v>
      </c>
      <c r="Q53" t="s">
        <v>273</v>
      </c>
      <c r="R53" t="s">
        <v>262</v>
      </c>
      <c r="S53" t="s">
        <v>281</v>
      </c>
      <c r="T53" t="s">
        <v>262</v>
      </c>
      <c r="U53">
        <v>16384</v>
      </c>
      <c r="V53" t="s">
        <v>262</v>
      </c>
      <c r="W53">
        <v>2048</v>
      </c>
      <c r="X53" t="s">
        <v>262</v>
      </c>
      <c r="Y53" t="s">
        <v>264</v>
      </c>
      <c r="Z53" t="s">
        <v>262</v>
      </c>
      <c r="AA53" t="s">
        <v>281</v>
      </c>
      <c r="AB53" t="s">
        <v>262</v>
      </c>
      <c r="AC53" t="s">
        <v>274</v>
      </c>
      <c r="AD53" t="s">
        <v>262</v>
      </c>
      <c r="AE53" t="s">
        <v>275</v>
      </c>
      <c r="AF53" t="s">
        <v>262</v>
      </c>
      <c r="AG53" t="s">
        <v>387</v>
      </c>
      <c r="AH53" t="s">
        <v>262</v>
      </c>
      <c r="AI53" t="s">
        <v>277</v>
      </c>
      <c r="AJ53" t="s">
        <v>262</v>
      </c>
      <c r="AK53" t="s">
        <v>287</v>
      </c>
      <c r="AL53" t="s">
        <v>262</v>
      </c>
      <c r="AM53" t="s">
        <v>282</v>
      </c>
      <c r="AN53" t="s">
        <v>257</v>
      </c>
      <c r="AO53" t="s">
        <v>330</v>
      </c>
      <c r="AP53" t="s">
        <v>262</v>
      </c>
      <c r="AQ53">
        <v>32</v>
      </c>
      <c r="AR53" t="s">
        <v>262</v>
      </c>
      <c r="AS53" t="s">
        <v>297</v>
      </c>
      <c r="AT53" t="s">
        <v>262</v>
      </c>
      <c r="AU53" t="s">
        <v>293</v>
      </c>
      <c r="AV53" t="s">
        <v>257</v>
      </c>
      <c r="AW53">
        <v>64</v>
      </c>
    </row>
    <row r="54" spans="1:49" x14ac:dyDescent="0.3">
      <c r="A54" t="s">
        <v>52</v>
      </c>
      <c r="B54" t="s">
        <v>389</v>
      </c>
      <c r="C54" t="s">
        <v>299</v>
      </c>
      <c r="D54" t="s">
        <v>255</v>
      </c>
      <c r="E54" t="s">
        <v>388</v>
      </c>
      <c r="F54" t="s">
        <v>257</v>
      </c>
      <c r="G54" t="s">
        <v>258</v>
      </c>
      <c r="H54" t="s">
        <v>257</v>
      </c>
      <c r="I54" t="s">
        <v>284</v>
      </c>
      <c r="J54" t="s">
        <v>262</v>
      </c>
      <c r="K54" t="s">
        <v>282</v>
      </c>
      <c r="L54" t="s">
        <v>262</v>
      </c>
      <c r="M54" t="s">
        <v>300</v>
      </c>
      <c r="N54" t="s">
        <v>262</v>
      </c>
      <c r="O54" t="s">
        <v>282</v>
      </c>
      <c r="P54" t="s">
        <v>257</v>
      </c>
      <c r="Q54" t="s">
        <v>363</v>
      </c>
      <c r="R54" t="s">
        <v>262</v>
      </c>
      <c r="S54" t="s">
        <v>281</v>
      </c>
      <c r="T54" t="s">
        <v>262</v>
      </c>
      <c r="U54">
        <v>16384</v>
      </c>
      <c r="V54" t="s">
        <v>262</v>
      </c>
      <c r="W54">
        <v>1024</v>
      </c>
      <c r="X54" t="s">
        <v>262</v>
      </c>
      <c r="Y54" t="s">
        <v>264</v>
      </c>
      <c r="Z54" t="s">
        <v>262</v>
      </c>
      <c r="AA54" t="s">
        <v>281</v>
      </c>
      <c r="AB54" t="s">
        <v>262</v>
      </c>
      <c r="AC54" t="s">
        <v>274</v>
      </c>
      <c r="AD54" t="s">
        <v>262</v>
      </c>
      <c r="AE54" t="s">
        <v>275</v>
      </c>
      <c r="AF54" t="s">
        <v>262</v>
      </c>
      <c r="AG54" t="s">
        <v>387</v>
      </c>
      <c r="AH54" t="s">
        <v>262</v>
      </c>
      <c r="AI54" t="s">
        <v>277</v>
      </c>
      <c r="AJ54" t="s">
        <v>262</v>
      </c>
      <c r="AK54" t="s">
        <v>287</v>
      </c>
      <c r="AL54" t="s">
        <v>262</v>
      </c>
      <c r="AM54" t="s">
        <v>282</v>
      </c>
      <c r="AN54" t="s">
        <v>262</v>
      </c>
      <c r="AO54" t="s">
        <v>268</v>
      </c>
      <c r="AP54" t="s">
        <v>262</v>
      </c>
      <c r="AQ54">
        <v>32</v>
      </c>
      <c r="AR54" t="s">
        <v>262</v>
      </c>
      <c r="AS54" t="s">
        <v>297</v>
      </c>
      <c r="AT54" t="s">
        <v>262</v>
      </c>
      <c r="AU54" t="s">
        <v>293</v>
      </c>
      <c r="AV54" t="s">
        <v>262</v>
      </c>
      <c r="AW54" t="s">
        <v>305</v>
      </c>
    </row>
    <row r="55" spans="1:49" x14ac:dyDescent="0.3">
      <c r="A55" t="s">
        <v>390</v>
      </c>
      <c r="B55" t="s">
        <v>307</v>
      </c>
      <c r="C55" t="s">
        <v>341</v>
      </c>
      <c r="D55" t="s">
        <v>255</v>
      </c>
      <c r="E55" t="s">
        <v>388</v>
      </c>
      <c r="F55" t="s">
        <v>257</v>
      </c>
      <c r="G55" t="s">
        <v>258</v>
      </c>
      <c r="H55" t="s">
        <v>257</v>
      </c>
      <c r="I55" t="s">
        <v>284</v>
      </c>
      <c r="J55" t="s">
        <v>262</v>
      </c>
      <c r="K55" t="s">
        <v>282</v>
      </c>
      <c r="L55" t="s">
        <v>262</v>
      </c>
      <c r="M55" t="s">
        <v>300</v>
      </c>
      <c r="N55" t="s">
        <v>262</v>
      </c>
      <c r="O55" t="s">
        <v>282</v>
      </c>
      <c r="P55" t="s">
        <v>257</v>
      </c>
      <c r="Q55" t="s">
        <v>391</v>
      </c>
      <c r="R55" t="s">
        <v>262</v>
      </c>
      <c r="S55" t="s">
        <v>281</v>
      </c>
      <c r="T55" t="s">
        <v>262</v>
      </c>
      <c r="U55">
        <v>16384</v>
      </c>
      <c r="V55" t="s">
        <v>262</v>
      </c>
      <c r="W55">
        <v>1024</v>
      </c>
      <c r="X55" t="s">
        <v>262</v>
      </c>
      <c r="Y55" t="s">
        <v>264</v>
      </c>
      <c r="Z55" t="s">
        <v>262</v>
      </c>
      <c r="AA55" t="s">
        <v>281</v>
      </c>
      <c r="AB55" t="s">
        <v>262</v>
      </c>
      <c r="AC55" t="s">
        <v>274</v>
      </c>
      <c r="AD55" t="s">
        <v>262</v>
      </c>
      <c r="AE55" t="s">
        <v>275</v>
      </c>
      <c r="AF55" t="s">
        <v>262</v>
      </c>
      <c r="AG55" t="s">
        <v>387</v>
      </c>
      <c r="AH55" t="s">
        <v>262</v>
      </c>
      <c r="AI55" t="s">
        <v>277</v>
      </c>
      <c r="AJ55" t="s">
        <v>262</v>
      </c>
      <c r="AK55" t="s">
        <v>287</v>
      </c>
      <c r="AL55" t="s">
        <v>262</v>
      </c>
      <c r="AM55" t="s">
        <v>282</v>
      </c>
      <c r="AN55" t="s">
        <v>262</v>
      </c>
      <c r="AO55" t="s">
        <v>268</v>
      </c>
      <c r="AP55" t="s">
        <v>262</v>
      </c>
      <c r="AQ55">
        <v>16</v>
      </c>
      <c r="AR55" t="s">
        <v>262</v>
      </c>
      <c r="AS55" t="s">
        <v>297</v>
      </c>
      <c r="AT55" t="s">
        <v>262</v>
      </c>
      <c r="AU55" t="s">
        <v>293</v>
      </c>
      <c r="AV55" t="s">
        <v>262</v>
      </c>
      <c r="AW55" t="s">
        <v>305</v>
      </c>
    </row>
    <row r="56" spans="1:49" x14ac:dyDescent="0.3">
      <c r="A56" t="s">
        <v>53</v>
      </c>
      <c r="B56" t="s">
        <v>288</v>
      </c>
      <c r="C56" t="s">
        <v>374</v>
      </c>
      <c r="D56" t="s">
        <v>280</v>
      </c>
      <c r="E56" t="s">
        <v>388</v>
      </c>
      <c r="F56" t="s">
        <v>262</v>
      </c>
      <c r="G56" t="s">
        <v>281</v>
      </c>
      <c r="H56" t="s">
        <v>262</v>
      </c>
      <c r="I56" t="s">
        <v>282</v>
      </c>
      <c r="J56" t="s">
        <v>262</v>
      </c>
      <c r="K56" t="s">
        <v>282</v>
      </c>
      <c r="L56" t="s">
        <v>262</v>
      </c>
      <c r="M56" t="s">
        <v>300</v>
      </c>
      <c r="N56" t="s">
        <v>262</v>
      </c>
      <c r="O56" t="s">
        <v>282</v>
      </c>
      <c r="P56" t="s">
        <v>262</v>
      </c>
      <c r="Q56" t="s">
        <v>273</v>
      </c>
      <c r="R56" t="s">
        <v>262</v>
      </c>
      <c r="S56" t="s">
        <v>281</v>
      </c>
      <c r="T56" t="s">
        <v>262</v>
      </c>
      <c r="U56">
        <v>16384</v>
      </c>
      <c r="V56" t="s">
        <v>262</v>
      </c>
      <c r="W56">
        <v>8192</v>
      </c>
      <c r="X56" t="s">
        <v>262</v>
      </c>
      <c r="Y56" t="s">
        <v>264</v>
      </c>
      <c r="Z56" t="s">
        <v>262</v>
      </c>
      <c r="AA56" t="s">
        <v>281</v>
      </c>
      <c r="AB56" t="s">
        <v>262</v>
      </c>
      <c r="AC56" t="s">
        <v>274</v>
      </c>
      <c r="AD56" t="s">
        <v>262</v>
      </c>
      <c r="AE56" t="s">
        <v>275</v>
      </c>
      <c r="AF56" t="s">
        <v>262</v>
      </c>
      <c r="AG56" t="s">
        <v>387</v>
      </c>
      <c r="AH56" t="s">
        <v>262</v>
      </c>
      <c r="AI56" t="s">
        <v>277</v>
      </c>
      <c r="AJ56" t="s">
        <v>262</v>
      </c>
      <c r="AK56">
        <v>2</v>
      </c>
      <c r="AL56" t="s">
        <v>257</v>
      </c>
      <c r="AM56">
        <v>4</v>
      </c>
      <c r="AN56" t="s">
        <v>262</v>
      </c>
      <c r="AO56" t="s">
        <v>268</v>
      </c>
      <c r="AP56" t="s">
        <v>262</v>
      </c>
      <c r="AQ56">
        <v>16</v>
      </c>
      <c r="AR56" t="s">
        <v>262</v>
      </c>
      <c r="AS56">
        <v>2048</v>
      </c>
      <c r="AT56" t="s">
        <v>262</v>
      </c>
      <c r="AU56">
        <v>128</v>
      </c>
      <c r="AV56" t="s">
        <v>257</v>
      </c>
      <c r="AW56">
        <v>32</v>
      </c>
    </row>
    <row r="57" spans="1:49" x14ac:dyDescent="0.3">
      <c r="A57" t="s">
        <v>392</v>
      </c>
      <c r="B57" t="s">
        <v>307</v>
      </c>
      <c r="C57" t="s">
        <v>349</v>
      </c>
      <c r="D57" t="s">
        <v>280</v>
      </c>
      <c r="E57" t="s">
        <v>388</v>
      </c>
      <c r="F57" t="s">
        <v>257</v>
      </c>
      <c r="G57" t="s">
        <v>258</v>
      </c>
      <c r="H57" t="s">
        <v>257</v>
      </c>
      <c r="I57" t="s">
        <v>284</v>
      </c>
      <c r="J57" t="s">
        <v>257</v>
      </c>
      <c r="K57">
        <v>1</v>
      </c>
      <c r="L57" t="s">
        <v>262</v>
      </c>
      <c r="M57">
        <v>4</v>
      </c>
      <c r="N57" t="s">
        <v>257</v>
      </c>
      <c r="O57" t="s">
        <v>260</v>
      </c>
      <c r="P57" t="s">
        <v>257</v>
      </c>
      <c r="Q57" t="s">
        <v>370</v>
      </c>
      <c r="R57" t="s">
        <v>262</v>
      </c>
      <c r="S57" t="s">
        <v>281</v>
      </c>
      <c r="T57" t="s">
        <v>262</v>
      </c>
      <c r="U57">
        <v>8192</v>
      </c>
      <c r="V57" t="s">
        <v>262</v>
      </c>
      <c r="W57">
        <v>1024</v>
      </c>
      <c r="X57" t="s">
        <v>262</v>
      </c>
      <c r="Y57" t="s">
        <v>264</v>
      </c>
      <c r="Z57" t="s">
        <v>262</v>
      </c>
      <c r="AA57" t="s">
        <v>281</v>
      </c>
      <c r="AB57" t="s">
        <v>262</v>
      </c>
      <c r="AC57" t="s">
        <v>274</v>
      </c>
      <c r="AD57" t="s">
        <v>262</v>
      </c>
      <c r="AE57" t="s">
        <v>275</v>
      </c>
      <c r="AF57" t="s">
        <v>262</v>
      </c>
      <c r="AG57" t="s">
        <v>387</v>
      </c>
      <c r="AH57" t="s">
        <v>262</v>
      </c>
      <c r="AI57" t="s">
        <v>277</v>
      </c>
      <c r="AJ57" t="s">
        <v>262</v>
      </c>
      <c r="AK57" t="s">
        <v>287</v>
      </c>
      <c r="AL57" t="s">
        <v>262</v>
      </c>
      <c r="AM57" t="s">
        <v>282</v>
      </c>
      <c r="AN57" t="s">
        <v>257</v>
      </c>
      <c r="AO57" t="s">
        <v>291</v>
      </c>
      <c r="AP57" t="s">
        <v>262</v>
      </c>
      <c r="AQ57">
        <v>64</v>
      </c>
      <c r="AR57" t="s">
        <v>262</v>
      </c>
      <c r="AS57" t="s">
        <v>297</v>
      </c>
      <c r="AT57" t="s">
        <v>262</v>
      </c>
      <c r="AU57" t="s">
        <v>293</v>
      </c>
      <c r="AV57" t="s">
        <v>257</v>
      </c>
      <c r="AW57" t="s">
        <v>292</v>
      </c>
    </row>
    <row r="58" spans="1:49" x14ac:dyDescent="0.3">
      <c r="A58" t="s">
        <v>54</v>
      </c>
      <c r="B58" t="s">
        <v>389</v>
      </c>
      <c r="C58" t="s">
        <v>393</v>
      </c>
      <c r="D58" t="s">
        <v>280</v>
      </c>
      <c r="E58" t="s">
        <v>388</v>
      </c>
      <c r="F58" t="s">
        <v>257</v>
      </c>
      <c r="G58" t="s">
        <v>258</v>
      </c>
      <c r="H58" t="s">
        <v>257</v>
      </c>
      <c r="I58" t="s">
        <v>284</v>
      </c>
      <c r="J58" t="s">
        <v>257</v>
      </c>
      <c r="K58" t="s">
        <v>259</v>
      </c>
      <c r="L58" t="s">
        <v>257</v>
      </c>
      <c r="M58" t="s">
        <v>260</v>
      </c>
      <c r="N58" t="s">
        <v>257</v>
      </c>
      <c r="O58" t="s">
        <v>259</v>
      </c>
      <c r="P58" t="s">
        <v>257</v>
      </c>
      <c r="Q58" t="s">
        <v>261</v>
      </c>
      <c r="R58" t="s">
        <v>269</v>
      </c>
      <c r="S58">
        <v>8</v>
      </c>
      <c r="T58" t="s">
        <v>262</v>
      </c>
      <c r="U58">
        <v>16384</v>
      </c>
      <c r="V58" t="s">
        <v>262</v>
      </c>
      <c r="W58">
        <v>2048</v>
      </c>
      <c r="X58" t="s">
        <v>262</v>
      </c>
      <c r="Y58" t="s">
        <v>264</v>
      </c>
      <c r="Z58" t="s">
        <v>257</v>
      </c>
      <c r="AA58">
        <v>2</v>
      </c>
      <c r="AB58" t="s">
        <v>262</v>
      </c>
      <c r="AC58" t="s">
        <v>274</v>
      </c>
      <c r="AD58" t="s">
        <v>257</v>
      </c>
      <c r="AE58" t="s">
        <v>345</v>
      </c>
      <c r="AF58" t="s">
        <v>262</v>
      </c>
      <c r="AG58" t="s">
        <v>387</v>
      </c>
      <c r="AH58" t="s">
        <v>257</v>
      </c>
      <c r="AI58" t="s">
        <v>265</v>
      </c>
      <c r="AJ58" t="s">
        <v>269</v>
      </c>
      <c r="AK58">
        <v>0.5</v>
      </c>
      <c r="AL58" t="s">
        <v>257</v>
      </c>
      <c r="AM58">
        <v>2</v>
      </c>
      <c r="AN58" t="s">
        <v>262</v>
      </c>
      <c r="AO58" t="s">
        <v>268</v>
      </c>
      <c r="AP58" t="s">
        <v>257</v>
      </c>
      <c r="AQ58">
        <v>4</v>
      </c>
      <c r="AR58" t="s">
        <v>262</v>
      </c>
      <c r="AS58">
        <v>512</v>
      </c>
      <c r="AT58" t="s">
        <v>269</v>
      </c>
      <c r="AU58">
        <v>64</v>
      </c>
      <c r="AV58" t="s">
        <v>257</v>
      </c>
      <c r="AW58" t="s">
        <v>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X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0" customWidth="1"/>
    <col min="2" max="3" width="14" customWidth="1"/>
    <col min="4" max="76" width="18" customWidth="1"/>
  </cols>
  <sheetData>
    <row r="1" spans="1:76" ht="36" customHeight="1" x14ac:dyDescent="0.3">
      <c r="A1" s="2"/>
      <c r="B1" s="2"/>
      <c r="C1" s="2"/>
      <c r="D1" s="2" t="s">
        <v>394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395</v>
      </c>
      <c r="S1" s="2" t="s">
        <v>396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397</v>
      </c>
      <c r="AN1" s="2"/>
      <c r="AO1" s="2" t="s">
        <v>398</v>
      </c>
      <c r="AP1" s="2"/>
      <c r="AQ1" s="2"/>
      <c r="AR1" s="2"/>
      <c r="AS1" s="2"/>
      <c r="AT1" s="2" t="s">
        <v>399</v>
      </c>
      <c r="AU1" s="2"/>
      <c r="AV1" s="2"/>
      <c r="AW1" s="2"/>
      <c r="AX1" s="2" t="s">
        <v>400</v>
      </c>
      <c r="AY1" s="2"/>
      <c r="AZ1" s="2"/>
      <c r="BA1" s="2" t="s">
        <v>401</v>
      </c>
      <c r="BB1" s="2"/>
      <c r="BC1" s="2"/>
      <c r="BD1" s="2" t="s">
        <v>402</v>
      </c>
      <c r="BE1" s="2"/>
      <c r="BF1" s="2" t="s">
        <v>403</v>
      </c>
      <c r="BG1" s="2"/>
      <c r="BH1" s="2"/>
      <c r="BI1" s="2"/>
      <c r="BJ1" s="2"/>
      <c r="BK1" s="2"/>
      <c r="BL1" s="2"/>
      <c r="BM1" s="2"/>
      <c r="BN1" s="2"/>
      <c r="BO1" s="2" t="s">
        <v>404</v>
      </c>
      <c r="BP1" s="2"/>
      <c r="BQ1" s="2" t="s">
        <v>405</v>
      </c>
      <c r="BR1" s="2"/>
      <c r="BS1" s="2"/>
      <c r="BT1" s="2"/>
      <c r="BU1" s="2"/>
      <c r="BV1" s="2" t="s">
        <v>406</v>
      </c>
      <c r="BW1" s="2" t="s">
        <v>407</v>
      </c>
      <c r="BX1" s="2" t="s">
        <v>408</v>
      </c>
    </row>
    <row r="2" spans="1:76" ht="36" customHeight="1" x14ac:dyDescent="0.3">
      <c r="A2" s="2"/>
      <c r="B2" s="2" t="s">
        <v>409</v>
      </c>
      <c r="C2" s="2" t="s">
        <v>410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  <c r="N2" s="2" t="s">
        <v>88</v>
      </c>
      <c r="O2" s="2" t="s">
        <v>89</v>
      </c>
      <c r="P2" s="2" t="s">
        <v>90</v>
      </c>
      <c r="Q2" s="2" t="s">
        <v>91</v>
      </c>
      <c r="R2" s="2" t="s">
        <v>411</v>
      </c>
      <c r="S2" s="2" t="s">
        <v>92</v>
      </c>
      <c r="T2" s="2" t="s">
        <v>93</v>
      </c>
      <c r="U2" s="2" t="s">
        <v>94</v>
      </c>
      <c r="V2" s="2" t="s">
        <v>95</v>
      </c>
      <c r="W2" s="2" t="s">
        <v>96</v>
      </c>
      <c r="X2" s="2" t="s">
        <v>97</v>
      </c>
      <c r="Y2" s="2" t="s">
        <v>98</v>
      </c>
      <c r="Z2" s="2" t="s">
        <v>99</v>
      </c>
      <c r="AA2" s="2" t="s">
        <v>100</v>
      </c>
      <c r="AB2" s="2" t="s">
        <v>101</v>
      </c>
      <c r="AC2" s="2" t="s">
        <v>102</v>
      </c>
      <c r="AD2" s="2" t="s">
        <v>103</v>
      </c>
      <c r="AE2" s="2" t="s">
        <v>412</v>
      </c>
      <c r="AF2" s="2" t="s">
        <v>104</v>
      </c>
      <c r="AG2" s="2" t="s">
        <v>105</v>
      </c>
      <c r="AH2" s="2" t="s">
        <v>413</v>
      </c>
      <c r="AI2" s="2" t="s">
        <v>414</v>
      </c>
      <c r="AJ2" s="2" t="s">
        <v>415</v>
      </c>
      <c r="AK2" s="2" t="s">
        <v>416</v>
      </c>
      <c r="AL2" s="2" t="s">
        <v>417</v>
      </c>
      <c r="AM2" s="2" t="s">
        <v>106</v>
      </c>
      <c r="AN2" s="2" t="s">
        <v>107</v>
      </c>
      <c r="AO2" s="2" t="s">
        <v>108</v>
      </c>
      <c r="AP2" s="2" t="s">
        <v>109</v>
      </c>
      <c r="AQ2" s="2" t="s">
        <v>110</v>
      </c>
      <c r="AR2" s="2" t="s">
        <v>111</v>
      </c>
      <c r="AS2" s="2" t="s">
        <v>418</v>
      </c>
      <c r="AT2" s="2" t="s">
        <v>112</v>
      </c>
      <c r="AU2" s="2" t="s">
        <v>113</v>
      </c>
      <c r="AV2" s="2" t="s">
        <v>114</v>
      </c>
      <c r="AW2" s="2" t="s">
        <v>115</v>
      </c>
      <c r="AX2" s="2" t="s">
        <v>116</v>
      </c>
      <c r="AY2" s="2" t="s">
        <v>117</v>
      </c>
      <c r="AZ2" s="2" t="s">
        <v>118</v>
      </c>
      <c r="BA2" s="2" t="s">
        <v>119</v>
      </c>
      <c r="BB2" s="2" t="s">
        <v>120</v>
      </c>
      <c r="BC2" s="2" t="s">
        <v>121</v>
      </c>
      <c r="BD2" s="2" t="s">
        <v>122</v>
      </c>
      <c r="BE2" s="2" t="s">
        <v>123</v>
      </c>
      <c r="BF2" s="2" t="s">
        <v>419</v>
      </c>
      <c r="BG2" s="2" t="s">
        <v>420</v>
      </c>
      <c r="BH2" s="2" t="s">
        <v>421</v>
      </c>
      <c r="BI2" s="2" t="s">
        <v>422</v>
      </c>
      <c r="BJ2" s="2" t="s">
        <v>423</v>
      </c>
      <c r="BK2" s="2" t="s">
        <v>424</v>
      </c>
      <c r="BL2" s="2" t="s">
        <v>425</v>
      </c>
      <c r="BM2" s="2" t="s">
        <v>426</v>
      </c>
      <c r="BN2" s="2" t="s">
        <v>427</v>
      </c>
      <c r="BO2" s="2" t="s">
        <v>428</v>
      </c>
      <c r="BP2" s="2" t="s">
        <v>429</v>
      </c>
      <c r="BQ2" s="2" t="s">
        <v>124</v>
      </c>
      <c r="BR2" s="2" t="s">
        <v>125</v>
      </c>
      <c r="BS2" s="2" t="s">
        <v>126</v>
      </c>
      <c r="BT2" s="2" t="s">
        <v>127</v>
      </c>
      <c r="BU2" s="2" t="s">
        <v>128</v>
      </c>
      <c r="BV2" s="2" t="s">
        <v>129</v>
      </c>
      <c r="BW2" s="2" t="s">
        <v>130</v>
      </c>
      <c r="BX2" s="2" t="s">
        <v>131</v>
      </c>
    </row>
    <row r="3" spans="1:76" x14ac:dyDescent="0.3">
      <c r="A3">
        <v>2019</v>
      </c>
      <c r="B3" t="s">
        <v>28</v>
      </c>
      <c r="C3">
        <v>39</v>
      </c>
      <c r="D3" t="s">
        <v>430</v>
      </c>
      <c r="E3" t="s">
        <v>430</v>
      </c>
      <c r="F3" t="s">
        <v>430</v>
      </c>
      <c r="G3" t="s">
        <v>430</v>
      </c>
      <c r="H3" t="s">
        <v>430</v>
      </c>
      <c r="I3" t="s">
        <v>431</v>
      </c>
      <c r="J3" t="s">
        <v>431</v>
      </c>
      <c r="K3" t="s">
        <v>431</v>
      </c>
      <c r="L3" t="s">
        <v>431</v>
      </c>
      <c r="M3" t="s">
        <v>430</v>
      </c>
      <c r="N3" t="s">
        <v>430</v>
      </c>
      <c r="O3" t="s">
        <v>430</v>
      </c>
      <c r="P3" t="s">
        <v>430</v>
      </c>
      <c r="Q3" t="s">
        <v>430</v>
      </c>
      <c r="R3" t="s">
        <v>432</v>
      </c>
      <c r="S3" t="s">
        <v>430</v>
      </c>
      <c r="T3" t="s">
        <v>431</v>
      </c>
      <c r="U3" t="s">
        <v>430</v>
      </c>
      <c r="V3" t="s">
        <v>430</v>
      </c>
      <c r="W3" t="s">
        <v>431</v>
      </c>
      <c r="X3" t="s">
        <v>430</v>
      </c>
      <c r="Y3" t="s">
        <v>430</v>
      </c>
      <c r="Z3" t="s">
        <v>430</v>
      </c>
      <c r="AA3" t="s">
        <v>430</v>
      </c>
      <c r="AB3" t="s">
        <v>430</v>
      </c>
      <c r="AC3" t="s">
        <v>430</v>
      </c>
      <c r="AD3" t="s">
        <v>430</v>
      </c>
      <c r="AE3" t="s">
        <v>431</v>
      </c>
      <c r="AF3" t="s">
        <v>430</v>
      </c>
      <c r="AG3" t="s">
        <v>430</v>
      </c>
      <c r="AH3" t="s">
        <v>431</v>
      </c>
      <c r="AI3" t="s">
        <v>431</v>
      </c>
      <c r="AJ3" t="s">
        <v>431</v>
      </c>
      <c r="AK3" t="s">
        <v>430</v>
      </c>
      <c r="AL3" t="s">
        <v>431</v>
      </c>
      <c r="AM3" t="s">
        <v>431</v>
      </c>
      <c r="AN3" t="s">
        <v>430</v>
      </c>
      <c r="AO3" t="s">
        <v>430</v>
      </c>
      <c r="AP3" t="s">
        <v>431</v>
      </c>
      <c r="AQ3" t="s">
        <v>431</v>
      </c>
      <c r="AR3" t="s">
        <v>431</v>
      </c>
      <c r="AS3" t="s">
        <v>431</v>
      </c>
      <c r="AT3" t="s">
        <v>431</v>
      </c>
      <c r="AU3" t="s">
        <v>430</v>
      </c>
      <c r="AV3" t="s">
        <v>430</v>
      </c>
      <c r="AW3" t="s">
        <v>430</v>
      </c>
      <c r="AX3" t="s">
        <v>430</v>
      </c>
      <c r="AY3" t="s">
        <v>431</v>
      </c>
      <c r="AZ3" t="s">
        <v>430</v>
      </c>
      <c r="BA3" t="s">
        <v>431</v>
      </c>
      <c r="BB3" t="s">
        <v>431</v>
      </c>
      <c r="BC3" t="s">
        <v>430</v>
      </c>
      <c r="BD3" t="s">
        <v>431</v>
      </c>
      <c r="BE3" t="s">
        <v>430</v>
      </c>
      <c r="BF3" t="s">
        <v>431</v>
      </c>
      <c r="BG3" t="s">
        <v>431</v>
      </c>
      <c r="BH3" t="s">
        <v>431</v>
      </c>
      <c r="BI3" t="s">
        <v>430</v>
      </c>
      <c r="BJ3" t="s">
        <v>430</v>
      </c>
      <c r="BK3" t="s">
        <v>430</v>
      </c>
      <c r="BL3" t="s">
        <v>430</v>
      </c>
      <c r="BM3" t="s">
        <v>431</v>
      </c>
      <c r="BN3" t="s">
        <v>431</v>
      </c>
      <c r="BO3" t="s">
        <v>431</v>
      </c>
      <c r="BP3" t="s">
        <v>431</v>
      </c>
      <c r="BQ3" t="s">
        <v>430</v>
      </c>
      <c r="BR3" t="s">
        <v>430</v>
      </c>
      <c r="BS3" t="s">
        <v>430</v>
      </c>
      <c r="BT3" t="s">
        <v>430</v>
      </c>
      <c r="BU3" t="s">
        <v>430</v>
      </c>
      <c r="BV3" t="s">
        <v>431</v>
      </c>
      <c r="BW3" t="s">
        <v>430</v>
      </c>
      <c r="BX3" t="s">
        <v>430</v>
      </c>
    </row>
    <row r="4" spans="1:76" x14ac:dyDescent="0.3">
      <c r="B4" t="s">
        <v>29</v>
      </c>
      <c r="C4">
        <v>383</v>
      </c>
      <c r="D4" t="s">
        <v>430</v>
      </c>
      <c r="E4" t="s">
        <v>431</v>
      </c>
      <c r="F4" t="s">
        <v>430</v>
      </c>
      <c r="G4" t="s">
        <v>431</v>
      </c>
      <c r="H4" t="s">
        <v>431</v>
      </c>
      <c r="I4" t="s">
        <v>430</v>
      </c>
      <c r="J4" t="s">
        <v>430</v>
      </c>
      <c r="K4" t="s">
        <v>430</v>
      </c>
      <c r="L4" t="s">
        <v>430</v>
      </c>
      <c r="M4" t="s">
        <v>430</v>
      </c>
      <c r="N4" t="s">
        <v>430</v>
      </c>
      <c r="O4" t="s">
        <v>430</v>
      </c>
      <c r="P4" t="s">
        <v>431</v>
      </c>
      <c r="Q4" t="s">
        <v>431</v>
      </c>
      <c r="R4" t="s">
        <v>433</v>
      </c>
      <c r="S4" t="s">
        <v>430</v>
      </c>
      <c r="T4" t="s">
        <v>430</v>
      </c>
      <c r="U4" t="s">
        <v>430</v>
      </c>
      <c r="V4" t="s">
        <v>430</v>
      </c>
      <c r="W4" t="s">
        <v>431</v>
      </c>
      <c r="X4" t="s">
        <v>430</v>
      </c>
      <c r="Y4" t="s">
        <v>430</v>
      </c>
      <c r="Z4" t="s">
        <v>430</v>
      </c>
      <c r="AA4" t="s">
        <v>430</v>
      </c>
      <c r="AB4" t="s">
        <v>430</v>
      </c>
      <c r="AC4" t="s">
        <v>430</v>
      </c>
      <c r="AD4" t="s">
        <v>431</v>
      </c>
      <c r="AE4" t="s">
        <v>431</v>
      </c>
      <c r="AF4" t="s">
        <v>430</v>
      </c>
      <c r="AG4" t="s">
        <v>430</v>
      </c>
      <c r="AH4" t="s">
        <v>431</v>
      </c>
      <c r="AI4" t="s">
        <v>431</v>
      </c>
      <c r="AJ4" t="s">
        <v>431</v>
      </c>
      <c r="AK4" t="s">
        <v>430</v>
      </c>
      <c r="AL4" t="s">
        <v>431</v>
      </c>
      <c r="AM4" t="s">
        <v>431</v>
      </c>
      <c r="AN4" t="s">
        <v>430</v>
      </c>
      <c r="AO4" t="s">
        <v>431</v>
      </c>
      <c r="AP4" t="s">
        <v>430</v>
      </c>
      <c r="AQ4" t="s">
        <v>431</v>
      </c>
      <c r="AR4" t="s">
        <v>431</v>
      </c>
      <c r="AS4" t="s">
        <v>431</v>
      </c>
      <c r="AT4" t="s">
        <v>431</v>
      </c>
      <c r="AU4" t="s">
        <v>430</v>
      </c>
      <c r="AV4" t="s">
        <v>430</v>
      </c>
      <c r="AW4" t="s">
        <v>430</v>
      </c>
      <c r="AX4" t="s">
        <v>431</v>
      </c>
      <c r="AY4" t="s">
        <v>430</v>
      </c>
      <c r="AZ4" t="s">
        <v>431</v>
      </c>
      <c r="BA4" t="s">
        <v>431</v>
      </c>
      <c r="BB4" t="s">
        <v>430</v>
      </c>
      <c r="BC4" t="s">
        <v>430</v>
      </c>
      <c r="BD4" t="s">
        <v>431</v>
      </c>
      <c r="BE4" t="s">
        <v>430</v>
      </c>
      <c r="BF4" t="s">
        <v>431</v>
      </c>
      <c r="BG4" t="s">
        <v>431</v>
      </c>
      <c r="BH4" t="s">
        <v>431</v>
      </c>
      <c r="BI4" t="s">
        <v>430</v>
      </c>
      <c r="BJ4" t="s">
        <v>430</v>
      </c>
      <c r="BK4" t="s">
        <v>430</v>
      </c>
      <c r="BL4" t="s">
        <v>430</v>
      </c>
      <c r="BM4" t="s">
        <v>431</v>
      </c>
      <c r="BN4" t="s">
        <v>431</v>
      </c>
      <c r="BO4" t="s">
        <v>431</v>
      </c>
      <c r="BP4" t="s">
        <v>431</v>
      </c>
      <c r="BQ4" t="s">
        <v>430</v>
      </c>
      <c r="BR4" t="s">
        <v>430</v>
      </c>
      <c r="BS4" t="s">
        <v>431</v>
      </c>
      <c r="BT4" t="s">
        <v>430</v>
      </c>
      <c r="BU4" t="s">
        <v>430</v>
      </c>
      <c r="BV4" t="s">
        <v>431</v>
      </c>
      <c r="BW4" t="s">
        <v>431</v>
      </c>
      <c r="BX4" t="s">
        <v>431</v>
      </c>
    </row>
    <row r="5" spans="1:76" x14ac:dyDescent="0.3">
      <c r="B5" t="s">
        <v>30</v>
      </c>
      <c r="C5">
        <v>101</v>
      </c>
      <c r="D5" t="s">
        <v>430</v>
      </c>
      <c r="E5" t="s">
        <v>431</v>
      </c>
      <c r="F5" t="s">
        <v>430</v>
      </c>
      <c r="G5" t="s">
        <v>430</v>
      </c>
      <c r="H5" t="s">
        <v>430</v>
      </c>
      <c r="I5" t="s">
        <v>430</v>
      </c>
      <c r="J5" t="s">
        <v>430</v>
      </c>
      <c r="K5" t="s">
        <v>430</v>
      </c>
      <c r="L5" t="s">
        <v>430</v>
      </c>
      <c r="M5" t="s">
        <v>430</v>
      </c>
      <c r="N5" t="s">
        <v>430</v>
      </c>
      <c r="O5" t="s">
        <v>430</v>
      </c>
      <c r="P5" t="s">
        <v>430</v>
      </c>
      <c r="Q5" t="s">
        <v>431</v>
      </c>
      <c r="R5" t="s">
        <v>432</v>
      </c>
      <c r="S5" t="s">
        <v>431</v>
      </c>
      <c r="T5" t="s">
        <v>431</v>
      </c>
      <c r="U5" t="s">
        <v>430</v>
      </c>
      <c r="V5" t="s">
        <v>430</v>
      </c>
      <c r="W5" t="s">
        <v>430</v>
      </c>
      <c r="X5" t="s">
        <v>430</v>
      </c>
      <c r="Y5" t="s">
        <v>430</v>
      </c>
      <c r="Z5" t="s">
        <v>430</v>
      </c>
      <c r="AA5" t="s">
        <v>430</v>
      </c>
      <c r="AB5" t="s">
        <v>430</v>
      </c>
      <c r="AC5" t="s">
        <v>431</v>
      </c>
      <c r="AD5" t="s">
        <v>430</v>
      </c>
      <c r="AE5" t="s">
        <v>431</v>
      </c>
      <c r="AF5" t="s">
        <v>431</v>
      </c>
      <c r="AG5" t="s">
        <v>430</v>
      </c>
      <c r="AH5" t="s">
        <v>431</v>
      </c>
      <c r="AI5" t="s">
        <v>431</v>
      </c>
      <c r="AJ5" t="s">
        <v>431</v>
      </c>
      <c r="AK5" t="s">
        <v>430</v>
      </c>
      <c r="AL5" t="s">
        <v>431</v>
      </c>
      <c r="AM5" t="s">
        <v>431</v>
      </c>
      <c r="AN5" t="s">
        <v>430</v>
      </c>
      <c r="AO5" t="s">
        <v>430</v>
      </c>
      <c r="AP5" t="s">
        <v>430</v>
      </c>
      <c r="AQ5" t="s">
        <v>431</v>
      </c>
      <c r="AR5" t="s">
        <v>431</v>
      </c>
      <c r="AS5" t="s">
        <v>431</v>
      </c>
      <c r="AT5" t="s">
        <v>430</v>
      </c>
      <c r="AU5" t="s">
        <v>430</v>
      </c>
      <c r="AV5" t="s">
        <v>430</v>
      </c>
      <c r="AW5" t="s">
        <v>430</v>
      </c>
      <c r="AX5" t="s">
        <v>430</v>
      </c>
      <c r="AY5" t="s">
        <v>430</v>
      </c>
      <c r="AZ5" t="s">
        <v>431</v>
      </c>
      <c r="BA5" t="s">
        <v>430</v>
      </c>
      <c r="BB5" t="s">
        <v>430</v>
      </c>
      <c r="BC5" t="s">
        <v>430</v>
      </c>
      <c r="BD5" t="s">
        <v>430</v>
      </c>
      <c r="BE5" t="s">
        <v>431</v>
      </c>
      <c r="BF5" t="s">
        <v>431</v>
      </c>
      <c r="BG5" t="s">
        <v>431</v>
      </c>
      <c r="BH5" t="s">
        <v>431</v>
      </c>
      <c r="BI5" t="s">
        <v>430</v>
      </c>
      <c r="BJ5" t="s">
        <v>430</v>
      </c>
      <c r="BK5" t="s">
        <v>430</v>
      </c>
      <c r="BL5" t="s">
        <v>430</v>
      </c>
      <c r="BM5" t="s">
        <v>431</v>
      </c>
      <c r="BN5" t="s">
        <v>431</v>
      </c>
      <c r="BO5" t="s">
        <v>431</v>
      </c>
      <c r="BP5" t="s">
        <v>431</v>
      </c>
      <c r="BQ5" t="s">
        <v>430</v>
      </c>
      <c r="BR5" t="s">
        <v>430</v>
      </c>
      <c r="BS5" t="s">
        <v>430</v>
      </c>
      <c r="BT5" t="s">
        <v>430</v>
      </c>
      <c r="BU5" t="s">
        <v>430</v>
      </c>
      <c r="BV5" t="s">
        <v>430</v>
      </c>
      <c r="BW5" t="s">
        <v>430</v>
      </c>
      <c r="BX5" t="s">
        <v>430</v>
      </c>
    </row>
    <row r="6" spans="1:76" x14ac:dyDescent="0.3">
      <c r="B6" t="s">
        <v>31</v>
      </c>
      <c r="C6">
        <v>1087</v>
      </c>
      <c r="D6" t="s">
        <v>430</v>
      </c>
      <c r="E6" t="s">
        <v>431</v>
      </c>
      <c r="F6" t="s">
        <v>430</v>
      </c>
      <c r="G6" t="s">
        <v>431</v>
      </c>
      <c r="H6" t="s">
        <v>431</v>
      </c>
      <c r="I6" t="s">
        <v>430</v>
      </c>
      <c r="J6" t="s">
        <v>430</v>
      </c>
      <c r="K6" t="s">
        <v>431</v>
      </c>
      <c r="L6" t="s">
        <v>430</v>
      </c>
      <c r="M6" t="s">
        <v>430</v>
      </c>
      <c r="N6" t="s">
        <v>431</v>
      </c>
      <c r="O6" t="s">
        <v>430</v>
      </c>
      <c r="P6" t="s">
        <v>430</v>
      </c>
      <c r="Q6" t="s">
        <v>431</v>
      </c>
      <c r="R6" t="s">
        <v>433</v>
      </c>
      <c r="S6" t="s">
        <v>431</v>
      </c>
      <c r="T6" t="s">
        <v>431</v>
      </c>
      <c r="U6" t="s">
        <v>430</v>
      </c>
      <c r="V6" t="s">
        <v>430</v>
      </c>
      <c r="W6" t="s">
        <v>431</v>
      </c>
      <c r="X6" t="s">
        <v>430</v>
      </c>
      <c r="Y6" t="s">
        <v>430</v>
      </c>
      <c r="Z6" t="s">
        <v>430</v>
      </c>
      <c r="AA6" t="s">
        <v>430</v>
      </c>
      <c r="AB6" t="s">
        <v>430</v>
      </c>
      <c r="AC6" t="s">
        <v>430</v>
      </c>
      <c r="AD6" t="s">
        <v>431</v>
      </c>
      <c r="AE6" t="s">
        <v>431</v>
      </c>
      <c r="AF6" t="s">
        <v>431</v>
      </c>
      <c r="AG6" t="s">
        <v>430</v>
      </c>
      <c r="AH6" t="s">
        <v>431</v>
      </c>
      <c r="AI6" t="s">
        <v>431</v>
      </c>
      <c r="AJ6" t="s">
        <v>431</v>
      </c>
      <c r="AK6" t="s">
        <v>430</v>
      </c>
      <c r="AL6" t="s">
        <v>431</v>
      </c>
      <c r="AM6" t="s">
        <v>431</v>
      </c>
      <c r="AN6" t="s">
        <v>430</v>
      </c>
      <c r="AO6" t="s">
        <v>430</v>
      </c>
      <c r="AP6" t="s">
        <v>431</v>
      </c>
      <c r="AQ6" t="s">
        <v>431</v>
      </c>
      <c r="AR6" t="s">
        <v>431</v>
      </c>
      <c r="AS6" t="s">
        <v>431</v>
      </c>
      <c r="AT6" t="s">
        <v>430</v>
      </c>
      <c r="AU6" t="s">
        <v>430</v>
      </c>
      <c r="AV6" t="s">
        <v>431</v>
      </c>
      <c r="AW6" t="s">
        <v>431</v>
      </c>
      <c r="AX6" t="s">
        <v>431</v>
      </c>
      <c r="AY6" t="s">
        <v>430</v>
      </c>
      <c r="AZ6" t="s">
        <v>430</v>
      </c>
      <c r="BA6" t="s">
        <v>431</v>
      </c>
      <c r="BB6" t="s">
        <v>431</v>
      </c>
      <c r="BC6" t="s">
        <v>430</v>
      </c>
      <c r="BD6" t="s">
        <v>430</v>
      </c>
      <c r="BE6" t="s">
        <v>430</v>
      </c>
      <c r="BF6" t="s">
        <v>431</v>
      </c>
      <c r="BG6" t="s">
        <v>431</v>
      </c>
      <c r="BH6" t="s">
        <v>431</v>
      </c>
      <c r="BI6" t="s">
        <v>430</v>
      </c>
      <c r="BJ6" t="s">
        <v>430</v>
      </c>
      <c r="BK6" t="s">
        <v>431</v>
      </c>
      <c r="BL6" t="s">
        <v>430</v>
      </c>
      <c r="BM6" t="s">
        <v>431</v>
      </c>
      <c r="BN6" t="s">
        <v>431</v>
      </c>
      <c r="BO6" t="s">
        <v>431</v>
      </c>
      <c r="BP6" t="s">
        <v>431</v>
      </c>
      <c r="BQ6" t="s">
        <v>430</v>
      </c>
      <c r="BR6" t="s">
        <v>430</v>
      </c>
      <c r="BS6" t="s">
        <v>430</v>
      </c>
      <c r="BT6" t="s">
        <v>430</v>
      </c>
      <c r="BU6" t="s">
        <v>430</v>
      </c>
      <c r="BV6" t="s">
        <v>431</v>
      </c>
      <c r="BW6" t="s">
        <v>430</v>
      </c>
      <c r="BX6" t="s">
        <v>431</v>
      </c>
    </row>
    <row r="7" spans="1:76" x14ac:dyDescent="0.3">
      <c r="B7" t="s">
        <v>32</v>
      </c>
      <c r="C7">
        <v>38</v>
      </c>
      <c r="D7" t="s">
        <v>430</v>
      </c>
      <c r="E7" t="s">
        <v>431</v>
      </c>
      <c r="F7" t="s">
        <v>430</v>
      </c>
      <c r="G7" t="s">
        <v>430</v>
      </c>
      <c r="H7" t="s">
        <v>431</v>
      </c>
      <c r="I7" t="s">
        <v>431</v>
      </c>
      <c r="J7" t="s">
        <v>431</v>
      </c>
      <c r="K7" t="s">
        <v>431</v>
      </c>
      <c r="L7" t="s">
        <v>431</v>
      </c>
      <c r="M7" t="s">
        <v>430</v>
      </c>
      <c r="N7" t="s">
        <v>430</v>
      </c>
      <c r="O7" t="s">
        <v>430</v>
      </c>
      <c r="P7" t="s">
        <v>431</v>
      </c>
      <c r="Q7" t="s">
        <v>431</v>
      </c>
      <c r="R7" t="s">
        <v>434</v>
      </c>
      <c r="S7" t="s">
        <v>430</v>
      </c>
      <c r="T7" t="s">
        <v>431</v>
      </c>
      <c r="U7" t="s">
        <v>430</v>
      </c>
      <c r="V7" t="s">
        <v>430</v>
      </c>
      <c r="W7" t="s">
        <v>431</v>
      </c>
      <c r="X7" t="s">
        <v>430</v>
      </c>
      <c r="Y7" t="s">
        <v>430</v>
      </c>
      <c r="Z7" t="s">
        <v>430</v>
      </c>
      <c r="AA7" t="s">
        <v>430</v>
      </c>
      <c r="AB7" t="s">
        <v>430</v>
      </c>
      <c r="AC7" t="s">
        <v>431</v>
      </c>
      <c r="AD7" t="s">
        <v>431</v>
      </c>
      <c r="AE7" t="s">
        <v>431</v>
      </c>
      <c r="AF7" t="s">
        <v>431</v>
      </c>
      <c r="AG7" t="s">
        <v>430</v>
      </c>
      <c r="AH7" t="s">
        <v>431</v>
      </c>
      <c r="AI7" t="s">
        <v>431</v>
      </c>
      <c r="AJ7" t="s">
        <v>431</v>
      </c>
      <c r="AK7" t="s">
        <v>430</v>
      </c>
      <c r="AL7" t="s">
        <v>431</v>
      </c>
      <c r="AM7" t="s">
        <v>431</v>
      </c>
      <c r="AN7" t="s">
        <v>430</v>
      </c>
      <c r="AO7" t="s">
        <v>431</v>
      </c>
      <c r="AP7" t="s">
        <v>431</v>
      </c>
      <c r="AQ7" t="s">
        <v>431</v>
      </c>
      <c r="AR7" t="s">
        <v>431</v>
      </c>
      <c r="AS7" t="s">
        <v>431</v>
      </c>
      <c r="AT7" t="s">
        <v>430</v>
      </c>
      <c r="AU7" t="s">
        <v>430</v>
      </c>
      <c r="AV7" t="s">
        <v>430</v>
      </c>
      <c r="AW7" t="s">
        <v>430</v>
      </c>
      <c r="AX7" t="s">
        <v>430</v>
      </c>
      <c r="AY7" t="s">
        <v>431</v>
      </c>
      <c r="AZ7" t="s">
        <v>431</v>
      </c>
      <c r="BA7" t="s">
        <v>431</v>
      </c>
      <c r="BB7" t="s">
        <v>431</v>
      </c>
      <c r="BC7" t="s">
        <v>430</v>
      </c>
      <c r="BD7" t="s">
        <v>430</v>
      </c>
      <c r="BE7" t="s">
        <v>430</v>
      </c>
      <c r="BF7" t="s">
        <v>431</v>
      </c>
      <c r="BG7" t="s">
        <v>431</v>
      </c>
      <c r="BH7" t="s">
        <v>431</v>
      </c>
      <c r="BI7" t="s">
        <v>430</v>
      </c>
      <c r="BJ7" t="s">
        <v>430</v>
      </c>
      <c r="BK7" t="s">
        <v>430</v>
      </c>
      <c r="BL7" t="s">
        <v>430</v>
      </c>
      <c r="BM7" t="s">
        <v>431</v>
      </c>
      <c r="BN7" t="s">
        <v>431</v>
      </c>
      <c r="BO7" t="s">
        <v>431</v>
      </c>
      <c r="BP7" t="s">
        <v>431</v>
      </c>
      <c r="BQ7" t="s">
        <v>430</v>
      </c>
      <c r="BR7" t="s">
        <v>430</v>
      </c>
      <c r="BS7" t="s">
        <v>430</v>
      </c>
      <c r="BT7" t="s">
        <v>430</v>
      </c>
      <c r="BU7" t="s">
        <v>430</v>
      </c>
      <c r="BV7" t="s">
        <v>431</v>
      </c>
      <c r="BW7" t="s">
        <v>431</v>
      </c>
      <c r="BX7" t="s">
        <v>431</v>
      </c>
    </row>
    <row r="8" spans="1:76" x14ac:dyDescent="0.3">
      <c r="B8" t="s">
        <v>33</v>
      </c>
      <c r="C8">
        <v>101</v>
      </c>
      <c r="D8" t="s">
        <v>430</v>
      </c>
      <c r="E8" t="s">
        <v>431</v>
      </c>
      <c r="F8" t="s">
        <v>431</v>
      </c>
      <c r="G8" t="s">
        <v>430</v>
      </c>
      <c r="H8" t="s">
        <v>430</v>
      </c>
      <c r="I8" t="s">
        <v>431</v>
      </c>
      <c r="J8" t="s">
        <v>431</v>
      </c>
      <c r="K8" t="s">
        <v>430</v>
      </c>
      <c r="L8" t="s">
        <v>430</v>
      </c>
      <c r="M8" t="s">
        <v>430</v>
      </c>
      <c r="N8" t="s">
        <v>430</v>
      </c>
      <c r="O8" t="s">
        <v>430</v>
      </c>
      <c r="P8" t="s">
        <v>430</v>
      </c>
      <c r="Q8" t="s">
        <v>431</v>
      </c>
      <c r="R8" t="s">
        <v>435</v>
      </c>
      <c r="S8" t="s">
        <v>431</v>
      </c>
      <c r="T8" t="s">
        <v>431</v>
      </c>
      <c r="U8" t="s">
        <v>430</v>
      </c>
      <c r="V8" t="s">
        <v>430</v>
      </c>
      <c r="W8" t="s">
        <v>430</v>
      </c>
      <c r="X8" t="s">
        <v>430</v>
      </c>
      <c r="Y8" t="s">
        <v>430</v>
      </c>
      <c r="Z8" t="s">
        <v>430</v>
      </c>
      <c r="AA8" t="s">
        <v>430</v>
      </c>
      <c r="AB8" t="s">
        <v>430</v>
      </c>
      <c r="AC8" t="s">
        <v>431</v>
      </c>
      <c r="AD8" t="s">
        <v>430</v>
      </c>
      <c r="AE8" t="s">
        <v>431</v>
      </c>
      <c r="AF8" t="s">
        <v>431</v>
      </c>
      <c r="AG8" t="s">
        <v>430</v>
      </c>
      <c r="AH8" t="s">
        <v>431</v>
      </c>
      <c r="AI8" t="s">
        <v>431</v>
      </c>
      <c r="AJ8" t="s">
        <v>431</v>
      </c>
      <c r="AK8" t="s">
        <v>430</v>
      </c>
      <c r="AL8" t="s">
        <v>431</v>
      </c>
      <c r="AM8" t="s">
        <v>431</v>
      </c>
      <c r="AN8" t="s">
        <v>430</v>
      </c>
      <c r="AO8" t="s">
        <v>430</v>
      </c>
      <c r="AP8" t="s">
        <v>430</v>
      </c>
      <c r="AQ8" t="s">
        <v>431</v>
      </c>
      <c r="AR8" t="s">
        <v>431</v>
      </c>
      <c r="AS8" t="s">
        <v>431</v>
      </c>
      <c r="AT8" t="s">
        <v>430</v>
      </c>
      <c r="AU8" t="s">
        <v>430</v>
      </c>
      <c r="AV8" t="s">
        <v>430</v>
      </c>
      <c r="AW8" t="s">
        <v>430</v>
      </c>
      <c r="AX8" t="s">
        <v>430</v>
      </c>
      <c r="AY8" t="s">
        <v>430</v>
      </c>
      <c r="AZ8" t="s">
        <v>431</v>
      </c>
      <c r="BA8" t="s">
        <v>430</v>
      </c>
      <c r="BB8" t="s">
        <v>431</v>
      </c>
      <c r="BC8" t="s">
        <v>430</v>
      </c>
      <c r="BD8" t="s">
        <v>430</v>
      </c>
      <c r="BE8" t="s">
        <v>431</v>
      </c>
      <c r="BF8" t="s">
        <v>431</v>
      </c>
      <c r="BG8" t="s">
        <v>431</v>
      </c>
      <c r="BH8" t="s">
        <v>431</v>
      </c>
      <c r="BI8" t="s">
        <v>430</v>
      </c>
      <c r="BJ8" t="s">
        <v>430</v>
      </c>
      <c r="BK8" t="s">
        <v>430</v>
      </c>
      <c r="BL8" t="s">
        <v>430</v>
      </c>
      <c r="BM8" t="s">
        <v>431</v>
      </c>
      <c r="BN8" t="s">
        <v>431</v>
      </c>
      <c r="BO8" t="s">
        <v>431</v>
      </c>
      <c r="BP8" t="s">
        <v>431</v>
      </c>
      <c r="BQ8" t="s">
        <v>430</v>
      </c>
      <c r="BR8" t="s">
        <v>430</v>
      </c>
      <c r="BS8" t="s">
        <v>430</v>
      </c>
      <c r="BT8" t="s">
        <v>430</v>
      </c>
      <c r="BU8" t="s">
        <v>430</v>
      </c>
      <c r="BV8" t="s">
        <v>430</v>
      </c>
      <c r="BW8" t="s">
        <v>430</v>
      </c>
      <c r="BX8" t="s">
        <v>430</v>
      </c>
    </row>
    <row r="9" spans="1:76" x14ac:dyDescent="0.3">
      <c r="B9" t="s">
        <v>34</v>
      </c>
      <c r="C9">
        <v>458</v>
      </c>
      <c r="D9" t="s">
        <v>430</v>
      </c>
      <c r="E9" t="s">
        <v>430</v>
      </c>
      <c r="F9" t="s">
        <v>430</v>
      </c>
      <c r="G9" t="s">
        <v>430</v>
      </c>
      <c r="H9" t="s">
        <v>430</v>
      </c>
      <c r="I9" t="s">
        <v>430</v>
      </c>
      <c r="J9" t="s">
        <v>430</v>
      </c>
      <c r="K9" t="s">
        <v>430</v>
      </c>
      <c r="L9" t="s">
        <v>430</v>
      </c>
      <c r="M9" t="s">
        <v>431</v>
      </c>
      <c r="N9" t="s">
        <v>430</v>
      </c>
      <c r="O9" t="s">
        <v>430</v>
      </c>
      <c r="P9" t="s">
        <v>430</v>
      </c>
      <c r="Q9" t="s">
        <v>431</v>
      </c>
      <c r="R9" t="s">
        <v>434</v>
      </c>
      <c r="S9" t="s">
        <v>431</v>
      </c>
      <c r="T9" t="s">
        <v>430</v>
      </c>
      <c r="U9" t="s">
        <v>430</v>
      </c>
      <c r="V9" t="s">
        <v>430</v>
      </c>
      <c r="W9" t="s">
        <v>430</v>
      </c>
      <c r="X9" t="s">
        <v>430</v>
      </c>
      <c r="Y9" t="s">
        <v>430</v>
      </c>
      <c r="Z9" t="s">
        <v>430</v>
      </c>
      <c r="AA9" t="s">
        <v>430</v>
      </c>
      <c r="AB9" t="s">
        <v>430</v>
      </c>
      <c r="AC9" t="s">
        <v>430</v>
      </c>
      <c r="AD9" t="s">
        <v>430</v>
      </c>
      <c r="AE9" t="s">
        <v>431</v>
      </c>
      <c r="AF9" t="s">
        <v>430</v>
      </c>
      <c r="AG9" t="s">
        <v>430</v>
      </c>
      <c r="AH9" t="s">
        <v>431</v>
      </c>
      <c r="AI9" t="s">
        <v>431</v>
      </c>
      <c r="AJ9" t="s">
        <v>431</v>
      </c>
      <c r="AK9" t="s">
        <v>430</v>
      </c>
      <c r="AL9" t="s">
        <v>431</v>
      </c>
      <c r="AM9" t="s">
        <v>431</v>
      </c>
      <c r="AN9" t="s">
        <v>430</v>
      </c>
      <c r="AO9" t="s">
        <v>430</v>
      </c>
      <c r="AP9" t="s">
        <v>430</v>
      </c>
      <c r="AQ9" t="s">
        <v>431</v>
      </c>
      <c r="AR9" t="s">
        <v>431</v>
      </c>
      <c r="AS9" t="s">
        <v>431</v>
      </c>
      <c r="AT9" t="s">
        <v>430</v>
      </c>
      <c r="AU9" t="s">
        <v>430</v>
      </c>
      <c r="AV9" t="s">
        <v>430</v>
      </c>
      <c r="AW9" t="s">
        <v>430</v>
      </c>
      <c r="AX9" t="s">
        <v>430</v>
      </c>
      <c r="AY9" t="s">
        <v>430</v>
      </c>
      <c r="AZ9" t="s">
        <v>430</v>
      </c>
      <c r="BA9" t="s">
        <v>430</v>
      </c>
      <c r="BB9" t="s">
        <v>430</v>
      </c>
      <c r="BC9" t="s">
        <v>430</v>
      </c>
      <c r="BD9" t="s">
        <v>430</v>
      </c>
      <c r="BE9" t="s">
        <v>430</v>
      </c>
      <c r="BF9" t="s">
        <v>431</v>
      </c>
      <c r="BG9" t="s">
        <v>431</v>
      </c>
      <c r="BH9" t="s">
        <v>431</v>
      </c>
      <c r="BI9" t="s">
        <v>430</v>
      </c>
      <c r="BJ9" t="s">
        <v>430</v>
      </c>
      <c r="BK9" t="s">
        <v>430</v>
      </c>
      <c r="BL9" t="s">
        <v>430</v>
      </c>
      <c r="BM9" t="s">
        <v>431</v>
      </c>
      <c r="BN9" t="s">
        <v>431</v>
      </c>
      <c r="BO9" t="s">
        <v>431</v>
      </c>
      <c r="BP9" t="s">
        <v>431</v>
      </c>
      <c r="BQ9" t="s">
        <v>430</v>
      </c>
      <c r="BR9" t="s">
        <v>430</v>
      </c>
      <c r="BS9" t="s">
        <v>430</v>
      </c>
      <c r="BT9" t="s">
        <v>430</v>
      </c>
      <c r="BU9" t="s">
        <v>430</v>
      </c>
      <c r="BV9" t="s">
        <v>430</v>
      </c>
      <c r="BW9" t="s">
        <v>430</v>
      </c>
      <c r="BX9" t="s">
        <v>430</v>
      </c>
    </row>
    <row r="10" spans="1:76" x14ac:dyDescent="0.3">
      <c r="A10">
        <v>2021</v>
      </c>
      <c r="B10" t="s">
        <v>35</v>
      </c>
      <c r="C10">
        <v>231</v>
      </c>
      <c r="D10" t="s">
        <v>431</v>
      </c>
      <c r="E10" t="s">
        <v>431</v>
      </c>
      <c r="F10" t="s">
        <v>430</v>
      </c>
      <c r="G10" t="s">
        <v>431</v>
      </c>
      <c r="H10" t="s">
        <v>430</v>
      </c>
      <c r="I10" t="s">
        <v>431</v>
      </c>
      <c r="J10" t="s">
        <v>431</v>
      </c>
      <c r="K10" t="s">
        <v>431</v>
      </c>
      <c r="L10" t="s">
        <v>431</v>
      </c>
      <c r="M10" t="s">
        <v>430</v>
      </c>
      <c r="N10" t="s">
        <v>430</v>
      </c>
      <c r="O10" t="s">
        <v>431</v>
      </c>
      <c r="P10" t="s">
        <v>430</v>
      </c>
      <c r="Q10" t="s">
        <v>431</v>
      </c>
      <c r="R10" t="s">
        <v>433</v>
      </c>
      <c r="S10" t="s">
        <v>431</v>
      </c>
      <c r="T10" t="s">
        <v>431</v>
      </c>
      <c r="U10" t="s">
        <v>430</v>
      </c>
      <c r="V10" t="s">
        <v>430</v>
      </c>
      <c r="W10" t="s">
        <v>430</v>
      </c>
      <c r="X10" t="s">
        <v>430</v>
      </c>
      <c r="Y10" t="s">
        <v>430</v>
      </c>
      <c r="Z10" t="s">
        <v>430</v>
      </c>
      <c r="AA10" t="s">
        <v>430</v>
      </c>
      <c r="AB10" t="s">
        <v>430</v>
      </c>
      <c r="AC10" t="s">
        <v>431</v>
      </c>
      <c r="AD10" t="s">
        <v>431</v>
      </c>
      <c r="AE10" t="s">
        <v>431</v>
      </c>
      <c r="AF10" t="s">
        <v>431</v>
      </c>
      <c r="AG10" t="s">
        <v>430</v>
      </c>
      <c r="AH10" t="s">
        <v>431</v>
      </c>
      <c r="AI10" t="s">
        <v>431</v>
      </c>
      <c r="AJ10" t="s">
        <v>431</v>
      </c>
      <c r="AK10" t="s">
        <v>430</v>
      </c>
      <c r="AL10" t="s">
        <v>431</v>
      </c>
      <c r="AM10" t="s">
        <v>431</v>
      </c>
      <c r="AN10" t="s">
        <v>430</v>
      </c>
      <c r="AO10" t="s">
        <v>431</v>
      </c>
      <c r="AP10" t="s">
        <v>430</v>
      </c>
      <c r="AQ10" t="s">
        <v>431</v>
      </c>
      <c r="AR10" t="s">
        <v>431</v>
      </c>
      <c r="AS10" t="s">
        <v>431</v>
      </c>
      <c r="AT10" t="s">
        <v>431</v>
      </c>
      <c r="AU10" t="s">
        <v>430</v>
      </c>
      <c r="AV10" t="s">
        <v>430</v>
      </c>
      <c r="AW10" t="s">
        <v>430</v>
      </c>
      <c r="AX10" t="s">
        <v>430</v>
      </c>
      <c r="AY10" t="s">
        <v>431</v>
      </c>
      <c r="AZ10" t="s">
        <v>431</v>
      </c>
      <c r="BA10" t="s">
        <v>431</v>
      </c>
      <c r="BB10" t="s">
        <v>431</v>
      </c>
      <c r="BC10" t="s">
        <v>430</v>
      </c>
      <c r="BD10" t="s">
        <v>431</v>
      </c>
      <c r="BE10" t="s">
        <v>430</v>
      </c>
      <c r="BF10" t="s">
        <v>431</v>
      </c>
      <c r="BG10" t="s">
        <v>431</v>
      </c>
      <c r="BH10" t="s">
        <v>431</v>
      </c>
      <c r="BI10" t="s">
        <v>430</v>
      </c>
      <c r="BJ10" t="s">
        <v>431</v>
      </c>
      <c r="BK10" t="s">
        <v>430</v>
      </c>
      <c r="BL10" t="s">
        <v>431</v>
      </c>
      <c r="BM10" t="s">
        <v>431</v>
      </c>
      <c r="BN10" t="s">
        <v>431</v>
      </c>
      <c r="BO10" t="s">
        <v>431</v>
      </c>
      <c r="BP10" t="s">
        <v>431</v>
      </c>
      <c r="BQ10" t="s">
        <v>430</v>
      </c>
      <c r="BR10" t="s">
        <v>431</v>
      </c>
      <c r="BS10" t="s">
        <v>430</v>
      </c>
      <c r="BT10" t="s">
        <v>430</v>
      </c>
      <c r="BU10" t="s">
        <v>430</v>
      </c>
      <c r="BV10" t="s">
        <v>431</v>
      </c>
      <c r="BW10" t="s">
        <v>430</v>
      </c>
      <c r="BX10" t="s">
        <v>431</v>
      </c>
    </row>
    <row r="11" spans="1:76" x14ac:dyDescent="0.3">
      <c r="B11" t="s">
        <v>36</v>
      </c>
      <c r="C11">
        <v>6118</v>
      </c>
      <c r="D11" t="s">
        <v>430</v>
      </c>
      <c r="E11" t="s">
        <v>431</v>
      </c>
      <c r="F11" t="s">
        <v>430</v>
      </c>
      <c r="G11" t="s">
        <v>431</v>
      </c>
      <c r="H11" t="s">
        <v>431</v>
      </c>
      <c r="I11" t="s">
        <v>431</v>
      </c>
      <c r="J11" t="s">
        <v>431</v>
      </c>
      <c r="K11" t="s">
        <v>431</v>
      </c>
      <c r="L11" t="s">
        <v>430</v>
      </c>
      <c r="M11" t="s">
        <v>430</v>
      </c>
      <c r="N11" t="s">
        <v>431</v>
      </c>
      <c r="O11" t="s">
        <v>430</v>
      </c>
      <c r="P11" t="s">
        <v>430</v>
      </c>
      <c r="Q11" t="s">
        <v>431</v>
      </c>
      <c r="R11" t="s">
        <v>434</v>
      </c>
      <c r="S11" t="s">
        <v>430</v>
      </c>
      <c r="T11" t="s">
        <v>431</v>
      </c>
      <c r="U11" t="s">
        <v>431</v>
      </c>
      <c r="V11" t="s">
        <v>430</v>
      </c>
      <c r="W11" t="s">
        <v>431</v>
      </c>
      <c r="X11" t="s">
        <v>430</v>
      </c>
      <c r="Y11" t="s">
        <v>430</v>
      </c>
      <c r="Z11" t="s">
        <v>430</v>
      </c>
      <c r="AA11" t="s">
        <v>431</v>
      </c>
      <c r="AB11" t="s">
        <v>430</v>
      </c>
      <c r="AC11" t="s">
        <v>430</v>
      </c>
      <c r="AD11" t="s">
        <v>431</v>
      </c>
      <c r="AE11" t="s">
        <v>431</v>
      </c>
      <c r="AF11" t="s">
        <v>431</v>
      </c>
      <c r="AG11" t="s">
        <v>430</v>
      </c>
      <c r="AH11" t="s">
        <v>431</v>
      </c>
      <c r="AI11" t="s">
        <v>431</v>
      </c>
      <c r="AJ11" t="s">
        <v>431</v>
      </c>
      <c r="AK11" t="s">
        <v>430</v>
      </c>
      <c r="AL11" t="s">
        <v>431</v>
      </c>
      <c r="AM11" t="s">
        <v>431</v>
      </c>
      <c r="AN11" t="s">
        <v>430</v>
      </c>
      <c r="AO11" t="s">
        <v>431</v>
      </c>
      <c r="AP11" t="s">
        <v>431</v>
      </c>
      <c r="AQ11" t="s">
        <v>431</v>
      </c>
      <c r="AR11" t="s">
        <v>431</v>
      </c>
      <c r="AS11" t="s">
        <v>431</v>
      </c>
      <c r="AT11" t="s">
        <v>431</v>
      </c>
      <c r="AU11" t="s">
        <v>430</v>
      </c>
      <c r="AV11" t="s">
        <v>431</v>
      </c>
      <c r="AW11" t="s">
        <v>431</v>
      </c>
      <c r="AX11" t="s">
        <v>431</v>
      </c>
      <c r="AY11" t="s">
        <v>430</v>
      </c>
      <c r="AZ11" t="s">
        <v>430</v>
      </c>
      <c r="BA11" t="s">
        <v>431</v>
      </c>
      <c r="BB11" t="s">
        <v>431</v>
      </c>
      <c r="BC11" t="s">
        <v>430</v>
      </c>
      <c r="BD11" t="s">
        <v>431</v>
      </c>
      <c r="BE11" t="s">
        <v>430</v>
      </c>
      <c r="BF11" t="s">
        <v>431</v>
      </c>
      <c r="BG11" t="s">
        <v>431</v>
      </c>
      <c r="BH11" t="s">
        <v>431</v>
      </c>
      <c r="BI11" t="s">
        <v>430</v>
      </c>
      <c r="BJ11" t="s">
        <v>430</v>
      </c>
      <c r="BK11" t="s">
        <v>430</v>
      </c>
      <c r="BL11" t="s">
        <v>430</v>
      </c>
      <c r="BM11" t="s">
        <v>431</v>
      </c>
      <c r="BN11" t="s">
        <v>431</v>
      </c>
      <c r="BO11" t="s">
        <v>431</v>
      </c>
      <c r="BP11" t="s">
        <v>431</v>
      </c>
      <c r="BQ11" t="s">
        <v>430</v>
      </c>
      <c r="BR11" t="s">
        <v>430</v>
      </c>
      <c r="BS11" t="s">
        <v>431</v>
      </c>
      <c r="BT11" t="s">
        <v>430</v>
      </c>
      <c r="BU11" t="s">
        <v>430</v>
      </c>
      <c r="BV11" t="s">
        <v>431</v>
      </c>
      <c r="BW11" t="s">
        <v>431</v>
      </c>
      <c r="BX11" t="s">
        <v>431</v>
      </c>
    </row>
    <row r="12" spans="1:76" x14ac:dyDescent="0.3">
      <c r="B12" t="s">
        <v>37</v>
      </c>
      <c r="C12">
        <v>6119</v>
      </c>
      <c r="D12" t="s">
        <v>431</v>
      </c>
      <c r="E12" t="s">
        <v>431</v>
      </c>
      <c r="F12" t="s">
        <v>430</v>
      </c>
      <c r="G12" t="s">
        <v>431</v>
      </c>
      <c r="H12" t="s">
        <v>431</v>
      </c>
      <c r="I12" t="s">
        <v>431</v>
      </c>
      <c r="J12" t="s">
        <v>431</v>
      </c>
      <c r="K12" t="s">
        <v>430</v>
      </c>
      <c r="L12" t="s">
        <v>430</v>
      </c>
      <c r="M12" t="s">
        <v>430</v>
      </c>
      <c r="N12" t="s">
        <v>431</v>
      </c>
      <c r="O12" t="s">
        <v>430</v>
      </c>
      <c r="P12" t="s">
        <v>430</v>
      </c>
      <c r="Q12" t="s">
        <v>431</v>
      </c>
      <c r="R12" t="s">
        <v>434</v>
      </c>
      <c r="S12" t="s">
        <v>430</v>
      </c>
      <c r="T12" t="s">
        <v>431</v>
      </c>
      <c r="U12" t="s">
        <v>430</v>
      </c>
      <c r="V12" t="s">
        <v>430</v>
      </c>
      <c r="W12" t="s">
        <v>431</v>
      </c>
      <c r="X12" t="s">
        <v>430</v>
      </c>
      <c r="Y12" t="s">
        <v>430</v>
      </c>
      <c r="Z12" t="s">
        <v>430</v>
      </c>
      <c r="AA12" t="s">
        <v>430</v>
      </c>
      <c r="AB12" t="s">
        <v>430</v>
      </c>
      <c r="AC12" t="s">
        <v>431</v>
      </c>
      <c r="AD12" t="s">
        <v>431</v>
      </c>
      <c r="AE12" t="s">
        <v>431</v>
      </c>
      <c r="AF12" t="s">
        <v>431</v>
      </c>
      <c r="AG12" t="s">
        <v>430</v>
      </c>
      <c r="AH12" t="s">
        <v>431</v>
      </c>
      <c r="AI12" t="s">
        <v>431</v>
      </c>
      <c r="AJ12" t="s">
        <v>431</v>
      </c>
      <c r="AK12" t="s">
        <v>430</v>
      </c>
      <c r="AL12" t="s">
        <v>431</v>
      </c>
      <c r="AM12" t="s">
        <v>431</v>
      </c>
      <c r="AN12" t="s">
        <v>430</v>
      </c>
      <c r="AO12" t="s">
        <v>431</v>
      </c>
      <c r="AP12" t="s">
        <v>431</v>
      </c>
      <c r="AQ12" t="s">
        <v>431</v>
      </c>
      <c r="AR12" t="s">
        <v>431</v>
      </c>
      <c r="AS12" t="s">
        <v>431</v>
      </c>
      <c r="AT12" t="s">
        <v>431</v>
      </c>
      <c r="AU12" t="s">
        <v>430</v>
      </c>
      <c r="AV12" t="s">
        <v>431</v>
      </c>
      <c r="AW12" t="s">
        <v>431</v>
      </c>
      <c r="AX12" t="s">
        <v>431</v>
      </c>
      <c r="AY12" t="s">
        <v>430</v>
      </c>
      <c r="AZ12" t="s">
        <v>431</v>
      </c>
      <c r="BA12" t="s">
        <v>431</v>
      </c>
      <c r="BB12" t="s">
        <v>431</v>
      </c>
      <c r="BC12" t="s">
        <v>430</v>
      </c>
      <c r="BD12" t="s">
        <v>431</v>
      </c>
      <c r="BE12" t="s">
        <v>430</v>
      </c>
      <c r="BF12" t="s">
        <v>431</v>
      </c>
      <c r="BG12" t="s">
        <v>431</v>
      </c>
      <c r="BH12" t="s">
        <v>431</v>
      </c>
      <c r="BI12" t="s">
        <v>430</v>
      </c>
      <c r="BJ12" t="s">
        <v>430</v>
      </c>
      <c r="BK12" t="s">
        <v>430</v>
      </c>
      <c r="BL12" t="s">
        <v>430</v>
      </c>
      <c r="BM12" t="s">
        <v>431</v>
      </c>
      <c r="BN12" t="s">
        <v>431</v>
      </c>
      <c r="BO12" t="s">
        <v>431</v>
      </c>
      <c r="BP12" t="s">
        <v>431</v>
      </c>
      <c r="BQ12" t="s">
        <v>430</v>
      </c>
      <c r="BR12" t="s">
        <v>430</v>
      </c>
      <c r="BS12" t="s">
        <v>430</v>
      </c>
      <c r="BT12" t="s">
        <v>430</v>
      </c>
      <c r="BU12" t="s">
        <v>430</v>
      </c>
      <c r="BV12" t="s">
        <v>431</v>
      </c>
      <c r="BW12" t="s">
        <v>430</v>
      </c>
      <c r="BX12" t="s">
        <v>431</v>
      </c>
    </row>
    <row r="13" spans="1:76" x14ac:dyDescent="0.3">
      <c r="B13" t="s">
        <v>38</v>
      </c>
      <c r="C13">
        <v>147</v>
      </c>
      <c r="D13" t="s">
        <v>430</v>
      </c>
      <c r="E13" t="s">
        <v>431</v>
      </c>
      <c r="F13" t="s">
        <v>430</v>
      </c>
      <c r="G13" t="s">
        <v>431</v>
      </c>
      <c r="H13" t="s">
        <v>431</v>
      </c>
      <c r="I13" t="s">
        <v>431</v>
      </c>
      <c r="J13" t="s">
        <v>431</v>
      </c>
      <c r="K13" t="s">
        <v>430</v>
      </c>
      <c r="L13" t="s">
        <v>430</v>
      </c>
      <c r="M13" t="s">
        <v>430</v>
      </c>
      <c r="N13" t="s">
        <v>431</v>
      </c>
      <c r="O13" t="s">
        <v>430</v>
      </c>
      <c r="P13" t="s">
        <v>431</v>
      </c>
      <c r="Q13" t="s">
        <v>431</v>
      </c>
      <c r="R13" t="s">
        <v>434</v>
      </c>
      <c r="S13" t="s">
        <v>431</v>
      </c>
      <c r="T13" t="s">
        <v>431</v>
      </c>
      <c r="U13" t="s">
        <v>431</v>
      </c>
      <c r="V13" t="s">
        <v>430</v>
      </c>
      <c r="W13" t="s">
        <v>430</v>
      </c>
      <c r="X13" t="s">
        <v>430</v>
      </c>
      <c r="Y13" t="s">
        <v>430</v>
      </c>
      <c r="Z13" t="s">
        <v>430</v>
      </c>
      <c r="AA13" t="s">
        <v>431</v>
      </c>
      <c r="AB13" t="s">
        <v>430</v>
      </c>
      <c r="AC13" t="s">
        <v>430</v>
      </c>
      <c r="AD13" t="s">
        <v>431</v>
      </c>
      <c r="AE13" t="s">
        <v>431</v>
      </c>
      <c r="AF13" t="s">
        <v>430</v>
      </c>
      <c r="AG13" t="s">
        <v>430</v>
      </c>
      <c r="AH13" t="s">
        <v>430</v>
      </c>
      <c r="AI13" t="s">
        <v>431</v>
      </c>
      <c r="AJ13" t="s">
        <v>431</v>
      </c>
      <c r="AK13" t="s">
        <v>430</v>
      </c>
      <c r="AL13" t="s">
        <v>431</v>
      </c>
      <c r="AM13" t="s">
        <v>431</v>
      </c>
      <c r="AN13" t="s">
        <v>430</v>
      </c>
      <c r="AO13" t="s">
        <v>430</v>
      </c>
      <c r="AP13" t="s">
        <v>431</v>
      </c>
      <c r="AQ13" t="s">
        <v>431</v>
      </c>
      <c r="AR13" t="s">
        <v>431</v>
      </c>
      <c r="AS13" t="s">
        <v>431</v>
      </c>
      <c r="AT13" t="s">
        <v>431</v>
      </c>
      <c r="AU13" t="s">
        <v>430</v>
      </c>
      <c r="AV13" t="s">
        <v>431</v>
      </c>
      <c r="AW13" t="s">
        <v>431</v>
      </c>
      <c r="AX13" t="s">
        <v>431</v>
      </c>
      <c r="AY13" t="s">
        <v>431</v>
      </c>
      <c r="AZ13" t="s">
        <v>431</v>
      </c>
      <c r="BA13" t="s">
        <v>431</v>
      </c>
      <c r="BB13" t="s">
        <v>431</v>
      </c>
      <c r="BC13" t="s">
        <v>430</v>
      </c>
      <c r="BD13" t="s">
        <v>430</v>
      </c>
      <c r="BE13" t="s">
        <v>430</v>
      </c>
      <c r="BF13" t="s">
        <v>431</v>
      </c>
      <c r="BG13" t="s">
        <v>431</v>
      </c>
      <c r="BH13" t="s">
        <v>431</v>
      </c>
      <c r="BI13" t="s">
        <v>430</v>
      </c>
      <c r="BJ13" t="s">
        <v>430</v>
      </c>
      <c r="BK13" t="s">
        <v>430</v>
      </c>
      <c r="BL13" t="s">
        <v>430</v>
      </c>
      <c r="BM13" t="s">
        <v>431</v>
      </c>
      <c r="BN13" t="s">
        <v>431</v>
      </c>
      <c r="BO13" t="s">
        <v>431</v>
      </c>
      <c r="BP13" t="s">
        <v>431</v>
      </c>
      <c r="BQ13" t="s">
        <v>430</v>
      </c>
      <c r="BR13" t="s">
        <v>430</v>
      </c>
      <c r="BS13" t="s">
        <v>430</v>
      </c>
      <c r="BT13" t="s">
        <v>431</v>
      </c>
      <c r="BU13" t="s">
        <v>430</v>
      </c>
      <c r="BV13" t="s">
        <v>431</v>
      </c>
      <c r="BW13" t="s">
        <v>430</v>
      </c>
      <c r="BX13" t="s">
        <v>431</v>
      </c>
    </row>
    <row r="14" spans="1:76" x14ac:dyDescent="0.3">
      <c r="B14" t="s">
        <v>39</v>
      </c>
      <c r="C14">
        <v>147</v>
      </c>
      <c r="D14" t="s">
        <v>430</v>
      </c>
      <c r="E14" t="s">
        <v>431</v>
      </c>
      <c r="F14" t="s">
        <v>430</v>
      </c>
      <c r="G14" t="s">
        <v>431</v>
      </c>
      <c r="H14" t="s">
        <v>430</v>
      </c>
      <c r="I14" t="s">
        <v>430</v>
      </c>
      <c r="J14" t="s">
        <v>430</v>
      </c>
      <c r="K14" t="s">
        <v>431</v>
      </c>
      <c r="L14" t="s">
        <v>430</v>
      </c>
      <c r="M14" t="s">
        <v>430</v>
      </c>
      <c r="N14" t="s">
        <v>430</v>
      </c>
      <c r="O14" t="s">
        <v>430</v>
      </c>
      <c r="P14" t="s">
        <v>430</v>
      </c>
      <c r="Q14" t="s">
        <v>431</v>
      </c>
      <c r="R14" t="s">
        <v>433</v>
      </c>
      <c r="S14" t="s">
        <v>431</v>
      </c>
      <c r="T14" t="s">
        <v>431</v>
      </c>
      <c r="U14" t="s">
        <v>430</v>
      </c>
      <c r="V14" t="s">
        <v>430</v>
      </c>
      <c r="W14" t="s">
        <v>430</v>
      </c>
      <c r="X14" t="s">
        <v>430</v>
      </c>
      <c r="Y14" t="s">
        <v>430</v>
      </c>
      <c r="Z14" t="s">
        <v>431</v>
      </c>
      <c r="AA14" t="s">
        <v>430</v>
      </c>
      <c r="AB14" t="s">
        <v>430</v>
      </c>
      <c r="AC14" t="s">
        <v>431</v>
      </c>
      <c r="AD14" t="s">
        <v>430</v>
      </c>
      <c r="AE14" t="s">
        <v>431</v>
      </c>
      <c r="AF14" t="s">
        <v>431</v>
      </c>
      <c r="AG14" t="s">
        <v>430</v>
      </c>
      <c r="AH14" t="s">
        <v>431</v>
      </c>
      <c r="AI14" t="s">
        <v>431</v>
      </c>
      <c r="AJ14" t="s">
        <v>431</v>
      </c>
      <c r="AK14" t="s">
        <v>430</v>
      </c>
      <c r="AL14" t="s">
        <v>431</v>
      </c>
      <c r="AM14" t="s">
        <v>431</v>
      </c>
      <c r="AN14" t="s">
        <v>430</v>
      </c>
      <c r="AO14" t="s">
        <v>430</v>
      </c>
      <c r="AP14" t="s">
        <v>431</v>
      </c>
      <c r="AQ14" t="s">
        <v>431</v>
      </c>
      <c r="AR14" t="s">
        <v>431</v>
      </c>
      <c r="AS14" t="s">
        <v>431</v>
      </c>
      <c r="AT14" t="s">
        <v>431</v>
      </c>
      <c r="AU14" t="s">
        <v>430</v>
      </c>
      <c r="AV14" t="s">
        <v>430</v>
      </c>
      <c r="AW14" t="s">
        <v>430</v>
      </c>
      <c r="AX14" t="s">
        <v>431</v>
      </c>
      <c r="AY14" t="s">
        <v>430</v>
      </c>
      <c r="AZ14" t="s">
        <v>430</v>
      </c>
      <c r="BA14" t="s">
        <v>431</v>
      </c>
      <c r="BB14" t="s">
        <v>430</v>
      </c>
      <c r="BC14" t="s">
        <v>430</v>
      </c>
      <c r="BD14" t="s">
        <v>430</v>
      </c>
      <c r="BE14" t="s">
        <v>430</v>
      </c>
      <c r="BF14" t="s">
        <v>431</v>
      </c>
      <c r="BG14" t="s">
        <v>431</v>
      </c>
      <c r="BH14" t="s">
        <v>431</v>
      </c>
      <c r="BI14" t="s">
        <v>430</v>
      </c>
      <c r="BJ14" t="s">
        <v>430</v>
      </c>
      <c r="BK14" t="s">
        <v>430</v>
      </c>
      <c r="BL14" t="s">
        <v>430</v>
      </c>
      <c r="BM14" t="s">
        <v>431</v>
      </c>
      <c r="BN14" t="s">
        <v>431</v>
      </c>
      <c r="BO14" t="s">
        <v>431</v>
      </c>
      <c r="BP14" t="s">
        <v>431</v>
      </c>
      <c r="BQ14" t="s">
        <v>431</v>
      </c>
      <c r="BR14" t="s">
        <v>430</v>
      </c>
      <c r="BS14" t="s">
        <v>430</v>
      </c>
      <c r="BT14" t="s">
        <v>430</v>
      </c>
      <c r="BU14" t="s">
        <v>430</v>
      </c>
      <c r="BV14" t="s">
        <v>431</v>
      </c>
      <c r="BW14" t="s">
        <v>431</v>
      </c>
      <c r="BX14" t="s">
        <v>430</v>
      </c>
    </row>
    <row r="15" spans="1:76" x14ac:dyDescent="0.3">
      <c r="B15" t="s">
        <v>40</v>
      </c>
      <c r="C15">
        <v>383</v>
      </c>
      <c r="D15" t="s">
        <v>430</v>
      </c>
      <c r="E15" t="s">
        <v>431</v>
      </c>
      <c r="F15" t="s">
        <v>430</v>
      </c>
      <c r="G15" t="s">
        <v>431</v>
      </c>
      <c r="H15" t="s">
        <v>431</v>
      </c>
      <c r="I15" t="s">
        <v>431</v>
      </c>
      <c r="J15" t="s">
        <v>431</v>
      </c>
      <c r="K15" t="s">
        <v>431</v>
      </c>
      <c r="L15" t="s">
        <v>430</v>
      </c>
      <c r="M15" t="s">
        <v>430</v>
      </c>
      <c r="N15" t="s">
        <v>431</v>
      </c>
      <c r="O15" t="s">
        <v>430</v>
      </c>
      <c r="P15" t="s">
        <v>430</v>
      </c>
      <c r="Q15" t="s">
        <v>431</v>
      </c>
      <c r="R15" t="s">
        <v>433</v>
      </c>
      <c r="S15" t="s">
        <v>430</v>
      </c>
      <c r="T15" t="s">
        <v>431</v>
      </c>
      <c r="U15" t="s">
        <v>431</v>
      </c>
      <c r="V15" t="s">
        <v>430</v>
      </c>
      <c r="W15" t="s">
        <v>431</v>
      </c>
      <c r="X15" t="s">
        <v>430</v>
      </c>
      <c r="Y15" t="s">
        <v>430</v>
      </c>
      <c r="Z15" t="s">
        <v>430</v>
      </c>
      <c r="AA15" t="s">
        <v>431</v>
      </c>
      <c r="AB15" t="s">
        <v>430</v>
      </c>
      <c r="AC15" t="s">
        <v>430</v>
      </c>
      <c r="AD15" t="s">
        <v>431</v>
      </c>
      <c r="AE15" t="s">
        <v>431</v>
      </c>
      <c r="AF15" t="s">
        <v>431</v>
      </c>
      <c r="AG15" t="s">
        <v>430</v>
      </c>
      <c r="AH15" t="s">
        <v>431</v>
      </c>
      <c r="AI15" t="s">
        <v>431</v>
      </c>
      <c r="AJ15" t="s">
        <v>431</v>
      </c>
      <c r="AK15" t="s">
        <v>430</v>
      </c>
      <c r="AL15" t="s">
        <v>431</v>
      </c>
      <c r="AM15" t="s">
        <v>431</v>
      </c>
      <c r="AN15" t="s">
        <v>430</v>
      </c>
      <c r="AO15" t="s">
        <v>430</v>
      </c>
      <c r="AP15" t="s">
        <v>431</v>
      </c>
      <c r="AQ15" t="s">
        <v>431</v>
      </c>
      <c r="AR15" t="s">
        <v>431</v>
      </c>
      <c r="AS15" t="s">
        <v>431</v>
      </c>
      <c r="AT15" t="s">
        <v>430</v>
      </c>
      <c r="AU15" t="s">
        <v>430</v>
      </c>
      <c r="AV15" t="s">
        <v>431</v>
      </c>
      <c r="AW15" t="s">
        <v>431</v>
      </c>
      <c r="AX15" t="s">
        <v>431</v>
      </c>
      <c r="AY15" t="s">
        <v>430</v>
      </c>
      <c r="AZ15" t="s">
        <v>430</v>
      </c>
      <c r="BA15" t="s">
        <v>431</v>
      </c>
      <c r="BB15" t="s">
        <v>431</v>
      </c>
      <c r="BC15" t="s">
        <v>430</v>
      </c>
      <c r="BD15" t="s">
        <v>430</v>
      </c>
      <c r="BE15" t="s">
        <v>430</v>
      </c>
      <c r="BF15" t="s">
        <v>431</v>
      </c>
      <c r="BG15" t="s">
        <v>431</v>
      </c>
      <c r="BH15" t="s">
        <v>431</v>
      </c>
      <c r="BI15" t="s">
        <v>430</v>
      </c>
      <c r="BJ15" t="s">
        <v>430</v>
      </c>
      <c r="BK15" t="s">
        <v>430</v>
      </c>
      <c r="BL15" t="s">
        <v>430</v>
      </c>
      <c r="BM15" t="s">
        <v>431</v>
      </c>
      <c r="BN15" t="s">
        <v>430</v>
      </c>
      <c r="BO15" t="s">
        <v>431</v>
      </c>
      <c r="BP15" t="s">
        <v>431</v>
      </c>
      <c r="BQ15" t="s">
        <v>430</v>
      </c>
      <c r="BR15" t="s">
        <v>430</v>
      </c>
      <c r="BS15" t="s">
        <v>430</v>
      </c>
      <c r="BT15" t="s">
        <v>430</v>
      </c>
      <c r="BU15" t="s">
        <v>430</v>
      </c>
      <c r="BV15" t="s">
        <v>431</v>
      </c>
      <c r="BW15" t="s">
        <v>430</v>
      </c>
      <c r="BX15" t="s">
        <v>431</v>
      </c>
    </row>
    <row r="16" spans="1:76" x14ac:dyDescent="0.3">
      <c r="B16" t="s">
        <v>41</v>
      </c>
      <c r="C16">
        <v>11</v>
      </c>
      <c r="D16" t="s">
        <v>430</v>
      </c>
      <c r="E16" t="s">
        <v>430</v>
      </c>
      <c r="F16" t="s">
        <v>430</v>
      </c>
      <c r="G16" t="s">
        <v>431</v>
      </c>
      <c r="H16" t="s">
        <v>431</v>
      </c>
      <c r="I16" t="s">
        <v>430</v>
      </c>
      <c r="J16" t="s">
        <v>430</v>
      </c>
      <c r="K16" t="s">
        <v>431</v>
      </c>
      <c r="L16" t="s">
        <v>431</v>
      </c>
      <c r="M16" t="s">
        <v>430</v>
      </c>
      <c r="N16" t="s">
        <v>431</v>
      </c>
      <c r="O16" t="s">
        <v>430</v>
      </c>
      <c r="P16" t="s">
        <v>430</v>
      </c>
      <c r="Q16" t="s">
        <v>431</v>
      </c>
      <c r="R16" t="s">
        <v>433</v>
      </c>
      <c r="S16" t="s">
        <v>431</v>
      </c>
      <c r="T16" t="s">
        <v>430</v>
      </c>
      <c r="U16" t="s">
        <v>431</v>
      </c>
      <c r="V16" t="s">
        <v>430</v>
      </c>
      <c r="W16" t="s">
        <v>430</v>
      </c>
      <c r="X16" t="s">
        <v>430</v>
      </c>
      <c r="Y16" t="s">
        <v>430</v>
      </c>
      <c r="Z16" t="s">
        <v>430</v>
      </c>
      <c r="AA16" t="s">
        <v>430</v>
      </c>
      <c r="AB16" t="s">
        <v>430</v>
      </c>
      <c r="AC16" t="s">
        <v>430</v>
      </c>
      <c r="AD16" t="s">
        <v>430</v>
      </c>
      <c r="AE16" t="s">
        <v>431</v>
      </c>
      <c r="AF16" t="s">
        <v>430</v>
      </c>
      <c r="AG16" t="s">
        <v>431</v>
      </c>
      <c r="AH16" t="s">
        <v>431</v>
      </c>
      <c r="AI16" t="s">
        <v>431</v>
      </c>
      <c r="AJ16" t="s">
        <v>431</v>
      </c>
      <c r="AK16" t="s">
        <v>430</v>
      </c>
      <c r="AL16" t="s">
        <v>431</v>
      </c>
      <c r="AM16" t="s">
        <v>431</v>
      </c>
      <c r="AN16" t="s">
        <v>431</v>
      </c>
      <c r="AO16" t="s">
        <v>430</v>
      </c>
      <c r="AP16" t="s">
        <v>431</v>
      </c>
      <c r="AQ16" t="s">
        <v>431</v>
      </c>
      <c r="AR16" t="s">
        <v>431</v>
      </c>
      <c r="AS16" t="s">
        <v>431</v>
      </c>
      <c r="AT16" t="s">
        <v>431</v>
      </c>
      <c r="AU16" t="s">
        <v>430</v>
      </c>
      <c r="AV16" t="s">
        <v>431</v>
      </c>
      <c r="AW16" t="s">
        <v>431</v>
      </c>
      <c r="AX16" t="s">
        <v>431</v>
      </c>
      <c r="AY16" t="s">
        <v>430</v>
      </c>
      <c r="AZ16" t="s">
        <v>430</v>
      </c>
      <c r="BA16" t="s">
        <v>431</v>
      </c>
      <c r="BB16" t="s">
        <v>431</v>
      </c>
      <c r="BC16" t="s">
        <v>430</v>
      </c>
      <c r="BD16" t="s">
        <v>430</v>
      </c>
      <c r="BE16" t="s">
        <v>430</v>
      </c>
      <c r="BF16" t="s">
        <v>431</v>
      </c>
      <c r="BG16" t="s">
        <v>431</v>
      </c>
      <c r="BH16" t="s">
        <v>431</v>
      </c>
      <c r="BI16" t="s">
        <v>430</v>
      </c>
      <c r="BJ16" t="s">
        <v>430</v>
      </c>
      <c r="BK16" t="s">
        <v>430</v>
      </c>
      <c r="BL16" t="s">
        <v>430</v>
      </c>
      <c r="BM16" t="s">
        <v>431</v>
      </c>
      <c r="BN16" t="s">
        <v>431</v>
      </c>
      <c r="BO16" t="s">
        <v>431</v>
      </c>
      <c r="BP16" t="s">
        <v>431</v>
      </c>
      <c r="BQ16" t="s">
        <v>430</v>
      </c>
      <c r="BR16" t="s">
        <v>430</v>
      </c>
      <c r="BS16" t="s">
        <v>430</v>
      </c>
      <c r="BT16" t="s">
        <v>431</v>
      </c>
      <c r="BU16" t="s">
        <v>430</v>
      </c>
      <c r="BV16" t="s">
        <v>431</v>
      </c>
      <c r="BW16" t="s">
        <v>430</v>
      </c>
      <c r="BX16" t="s">
        <v>430</v>
      </c>
    </row>
    <row r="17" spans="2:76" x14ac:dyDescent="0.3">
      <c r="B17" t="s">
        <v>42</v>
      </c>
      <c r="C17">
        <v>383</v>
      </c>
      <c r="D17" t="s">
        <v>430</v>
      </c>
      <c r="E17" t="s">
        <v>431</v>
      </c>
      <c r="F17" t="s">
        <v>430</v>
      </c>
      <c r="G17" t="s">
        <v>431</v>
      </c>
      <c r="H17" t="s">
        <v>431</v>
      </c>
      <c r="I17" t="s">
        <v>431</v>
      </c>
      <c r="J17" t="s">
        <v>431</v>
      </c>
      <c r="K17" t="s">
        <v>431</v>
      </c>
      <c r="L17" t="s">
        <v>430</v>
      </c>
      <c r="M17" t="s">
        <v>430</v>
      </c>
      <c r="N17" t="s">
        <v>431</v>
      </c>
      <c r="O17" t="s">
        <v>430</v>
      </c>
      <c r="P17" t="s">
        <v>430</v>
      </c>
      <c r="Q17" t="s">
        <v>430</v>
      </c>
      <c r="R17" t="s">
        <v>433</v>
      </c>
      <c r="S17" t="s">
        <v>430</v>
      </c>
      <c r="T17" t="s">
        <v>431</v>
      </c>
      <c r="U17" t="s">
        <v>431</v>
      </c>
      <c r="V17" t="s">
        <v>430</v>
      </c>
      <c r="W17" t="s">
        <v>431</v>
      </c>
      <c r="X17" t="s">
        <v>430</v>
      </c>
      <c r="Y17" t="s">
        <v>430</v>
      </c>
      <c r="Z17" t="s">
        <v>430</v>
      </c>
      <c r="AA17" t="s">
        <v>431</v>
      </c>
      <c r="AB17" t="s">
        <v>430</v>
      </c>
      <c r="AC17" t="s">
        <v>430</v>
      </c>
      <c r="AD17" t="s">
        <v>431</v>
      </c>
      <c r="AE17" t="s">
        <v>431</v>
      </c>
      <c r="AF17" t="s">
        <v>431</v>
      </c>
      <c r="AG17" t="s">
        <v>430</v>
      </c>
      <c r="AH17" t="s">
        <v>431</v>
      </c>
      <c r="AI17" t="s">
        <v>431</v>
      </c>
      <c r="AJ17" t="s">
        <v>431</v>
      </c>
      <c r="AK17" t="s">
        <v>430</v>
      </c>
      <c r="AL17" t="s">
        <v>431</v>
      </c>
      <c r="AM17" t="s">
        <v>431</v>
      </c>
      <c r="AN17" t="s">
        <v>430</v>
      </c>
      <c r="AO17" t="s">
        <v>431</v>
      </c>
      <c r="AP17" t="s">
        <v>431</v>
      </c>
      <c r="AQ17" t="s">
        <v>431</v>
      </c>
      <c r="AR17" t="s">
        <v>431</v>
      </c>
      <c r="AS17" t="s">
        <v>431</v>
      </c>
      <c r="AT17" t="s">
        <v>431</v>
      </c>
      <c r="AU17" t="s">
        <v>430</v>
      </c>
      <c r="AV17" t="s">
        <v>431</v>
      </c>
      <c r="AW17" t="s">
        <v>431</v>
      </c>
      <c r="AX17" t="s">
        <v>431</v>
      </c>
      <c r="AY17" t="s">
        <v>430</v>
      </c>
      <c r="AZ17" t="s">
        <v>430</v>
      </c>
      <c r="BA17" t="s">
        <v>431</v>
      </c>
      <c r="BB17" t="s">
        <v>431</v>
      </c>
      <c r="BC17" t="s">
        <v>430</v>
      </c>
      <c r="BD17" t="s">
        <v>431</v>
      </c>
      <c r="BE17" t="s">
        <v>430</v>
      </c>
      <c r="BF17" t="s">
        <v>431</v>
      </c>
      <c r="BG17" t="s">
        <v>431</v>
      </c>
      <c r="BH17" t="s">
        <v>431</v>
      </c>
      <c r="BI17" t="s">
        <v>430</v>
      </c>
      <c r="BJ17" t="s">
        <v>430</v>
      </c>
      <c r="BK17" t="s">
        <v>430</v>
      </c>
      <c r="BL17" t="s">
        <v>430</v>
      </c>
      <c r="BM17" t="s">
        <v>431</v>
      </c>
      <c r="BN17" t="s">
        <v>431</v>
      </c>
      <c r="BO17" t="s">
        <v>431</v>
      </c>
      <c r="BP17" t="s">
        <v>431</v>
      </c>
      <c r="BQ17" t="s">
        <v>430</v>
      </c>
      <c r="BR17" t="s">
        <v>430</v>
      </c>
      <c r="BS17" t="s">
        <v>431</v>
      </c>
      <c r="BT17" t="s">
        <v>430</v>
      </c>
      <c r="BU17" t="s">
        <v>430</v>
      </c>
      <c r="BV17" t="s">
        <v>431</v>
      </c>
      <c r="BW17" t="s">
        <v>430</v>
      </c>
      <c r="BX17" t="s">
        <v>431</v>
      </c>
    </row>
    <row r="18" spans="2:76" x14ac:dyDescent="0.3">
      <c r="B18" t="s">
        <v>43</v>
      </c>
      <c r="C18">
        <v>751</v>
      </c>
      <c r="D18" t="s">
        <v>430</v>
      </c>
      <c r="E18" t="s">
        <v>430</v>
      </c>
      <c r="F18" t="s">
        <v>430</v>
      </c>
      <c r="G18" t="s">
        <v>431</v>
      </c>
      <c r="H18" t="s">
        <v>431</v>
      </c>
      <c r="I18" t="s">
        <v>430</v>
      </c>
      <c r="J18" t="s">
        <v>430</v>
      </c>
      <c r="K18" t="s">
        <v>430</v>
      </c>
      <c r="L18" t="s">
        <v>430</v>
      </c>
      <c r="M18" t="s">
        <v>430</v>
      </c>
      <c r="N18" t="s">
        <v>431</v>
      </c>
      <c r="O18" t="s">
        <v>430</v>
      </c>
      <c r="P18" t="s">
        <v>430</v>
      </c>
      <c r="Q18" t="s">
        <v>431</v>
      </c>
      <c r="R18" t="s">
        <v>433</v>
      </c>
      <c r="S18" t="s">
        <v>431</v>
      </c>
      <c r="T18" t="s">
        <v>430</v>
      </c>
      <c r="U18" t="s">
        <v>431</v>
      </c>
      <c r="V18" t="s">
        <v>430</v>
      </c>
      <c r="W18" t="s">
        <v>430</v>
      </c>
      <c r="X18" t="s">
        <v>430</v>
      </c>
      <c r="Y18" t="s">
        <v>430</v>
      </c>
      <c r="Z18" t="s">
        <v>430</v>
      </c>
      <c r="AA18" t="s">
        <v>430</v>
      </c>
      <c r="AB18" t="s">
        <v>430</v>
      </c>
      <c r="AC18" t="s">
        <v>430</v>
      </c>
      <c r="AD18" t="s">
        <v>430</v>
      </c>
      <c r="AE18" t="s">
        <v>431</v>
      </c>
      <c r="AF18" t="s">
        <v>430</v>
      </c>
      <c r="AG18" t="s">
        <v>431</v>
      </c>
      <c r="AH18" t="s">
        <v>431</v>
      </c>
      <c r="AI18" t="s">
        <v>431</v>
      </c>
      <c r="AJ18" t="s">
        <v>431</v>
      </c>
      <c r="AK18" t="s">
        <v>430</v>
      </c>
      <c r="AL18" t="s">
        <v>431</v>
      </c>
      <c r="AM18" t="s">
        <v>431</v>
      </c>
      <c r="AN18" t="s">
        <v>431</v>
      </c>
      <c r="AO18" t="s">
        <v>430</v>
      </c>
      <c r="AP18" t="s">
        <v>431</v>
      </c>
      <c r="AQ18" t="s">
        <v>431</v>
      </c>
      <c r="AR18" t="s">
        <v>431</v>
      </c>
      <c r="AS18" t="s">
        <v>431</v>
      </c>
      <c r="AT18" t="s">
        <v>431</v>
      </c>
      <c r="AU18" t="s">
        <v>430</v>
      </c>
      <c r="AV18" t="s">
        <v>431</v>
      </c>
      <c r="AW18" t="s">
        <v>431</v>
      </c>
      <c r="AX18" t="s">
        <v>431</v>
      </c>
      <c r="AY18" t="s">
        <v>430</v>
      </c>
      <c r="AZ18" t="s">
        <v>430</v>
      </c>
      <c r="BA18" t="s">
        <v>431</v>
      </c>
      <c r="BB18" t="s">
        <v>431</v>
      </c>
      <c r="BC18" t="s">
        <v>430</v>
      </c>
      <c r="BD18" t="s">
        <v>430</v>
      </c>
      <c r="BE18" t="s">
        <v>430</v>
      </c>
      <c r="BF18" t="s">
        <v>431</v>
      </c>
      <c r="BG18" t="s">
        <v>431</v>
      </c>
      <c r="BH18" t="s">
        <v>431</v>
      </c>
      <c r="BI18" t="s">
        <v>430</v>
      </c>
      <c r="BJ18" t="s">
        <v>430</v>
      </c>
      <c r="BK18" t="s">
        <v>430</v>
      </c>
      <c r="BL18" t="s">
        <v>430</v>
      </c>
      <c r="BM18" t="s">
        <v>431</v>
      </c>
      <c r="BN18" t="s">
        <v>431</v>
      </c>
      <c r="BO18" t="s">
        <v>431</v>
      </c>
      <c r="BP18" t="s">
        <v>431</v>
      </c>
      <c r="BQ18" t="s">
        <v>430</v>
      </c>
      <c r="BR18" t="s">
        <v>430</v>
      </c>
      <c r="BS18" t="s">
        <v>430</v>
      </c>
      <c r="BT18" t="s">
        <v>431</v>
      </c>
      <c r="BU18" t="s">
        <v>430</v>
      </c>
      <c r="BV18" t="s">
        <v>431</v>
      </c>
      <c r="BW18" t="s">
        <v>430</v>
      </c>
      <c r="BX18" t="s">
        <v>430</v>
      </c>
    </row>
    <row r="19" spans="2:76" x14ac:dyDescent="0.3">
      <c r="B19" t="s">
        <v>44</v>
      </c>
      <c r="C19">
        <v>147</v>
      </c>
      <c r="D19" t="s">
        <v>430</v>
      </c>
      <c r="E19" t="s">
        <v>431</v>
      </c>
      <c r="F19" t="s">
        <v>430</v>
      </c>
      <c r="G19" t="s">
        <v>431</v>
      </c>
      <c r="H19" t="s">
        <v>431</v>
      </c>
      <c r="I19" t="s">
        <v>430</v>
      </c>
      <c r="J19" t="s">
        <v>430</v>
      </c>
      <c r="K19" t="s">
        <v>431</v>
      </c>
      <c r="L19" t="s">
        <v>430</v>
      </c>
      <c r="M19" t="s">
        <v>430</v>
      </c>
      <c r="N19" t="s">
        <v>431</v>
      </c>
      <c r="O19" t="s">
        <v>430</v>
      </c>
      <c r="P19" t="s">
        <v>430</v>
      </c>
      <c r="Q19" t="s">
        <v>430</v>
      </c>
      <c r="R19" t="s">
        <v>433</v>
      </c>
      <c r="S19" t="s">
        <v>431</v>
      </c>
      <c r="T19" t="s">
        <v>431</v>
      </c>
      <c r="U19" t="s">
        <v>430</v>
      </c>
      <c r="V19" t="s">
        <v>430</v>
      </c>
      <c r="W19" t="s">
        <v>430</v>
      </c>
      <c r="X19" t="s">
        <v>430</v>
      </c>
      <c r="Y19" t="s">
        <v>430</v>
      </c>
      <c r="Z19" t="s">
        <v>431</v>
      </c>
      <c r="AA19" t="s">
        <v>430</v>
      </c>
      <c r="AB19" t="s">
        <v>430</v>
      </c>
      <c r="AC19" t="s">
        <v>430</v>
      </c>
      <c r="AD19" t="s">
        <v>431</v>
      </c>
      <c r="AE19" t="s">
        <v>431</v>
      </c>
      <c r="AF19" t="s">
        <v>431</v>
      </c>
      <c r="AG19" t="s">
        <v>430</v>
      </c>
      <c r="AH19" t="s">
        <v>431</v>
      </c>
      <c r="AI19" t="s">
        <v>431</v>
      </c>
      <c r="AJ19" t="s">
        <v>431</v>
      </c>
      <c r="AK19" t="s">
        <v>430</v>
      </c>
      <c r="AL19" t="s">
        <v>431</v>
      </c>
      <c r="AM19" t="s">
        <v>431</v>
      </c>
      <c r="AN19" t="s">
        <v>430</v>
      </c>
      <c r="AO19" t="s">
        <v>430</v>
      </c>
      <c r="AP19" t="s">
        <v>431</v>
      </c>
      <c r="AQ19" t="s">
        <v>431</v>
      </c>
      <c r="AR19" t="s">
        <v>431</v>
      </c>
      <c r="AS19" t="s">
        <v>431</v>
      </c>
      <c r="AT19" t="s">
        <v>431</v>
      </c>
      <c r="AU19" t="s">
        <v>430</v>
      </c>
      <c r="AV19" t="s">
        <v>431</v>
      </c>
      <c r="AW19" t="s">
        <v>431</v>
      </c>
      <c r="AX19" t="s">
        <v>431</v>
      </c>
      <c r="AY19" t="s">
        <v>430</v>
      </c>
      <c r="AZ19" t="s">
        <v>430</v>
      </c>
      <c r="BA19" t="s">
        <v>431</v>
      </c>
      <c r="BB19" t="s">
        <v>431</v>
      </c>
      <c r="BC19" t="s">
        <v>430</v>
      </c>
      <c r="BD19" t="s">
        <v>430</v>
      </c>
      <c r="BE19" t="s">
        <v>430</v>
      </c>
      <c r="BF19" t="s">
        <v>431</v>
      </c>
      <c r="BG19" t="s">
        <v>431</v>
      </c>
      <c r="BH19" t="s">
        <v>431</v>
      </c>
      <c r="BI19" t="s">
        <v>430</v>
      </c>
      <c r="BJ19" t="s">
        <v>430</v>
      </c>
      <c r="BK19" t="s">
        <v>430</v>
      </c>
      <c r="BL19" t="s">
        <v>430</v>
      </c>
      <c r="BM19" t="s">
        <v>431</v>
      </c>
      <c r="BN19" t="s">
        <v>431</v>
      </c>
      <c r="BO19" t="s">
        <v>431</v>
      </c>
      <c r="BP19" t="s">
        <v>431</v>
      </c>
      <c r="BQ19" t="s">
        <v>430</v>
      </c>
      <c r="BR19" t="s">
        <v>430</v>
      </c>
      <c r="BS19" t="s">
        <v>431</v>
      </c>
      <c r="BT19" t="s">
        <v>430</v>
      </c>
      <c r="BU19" t="s">
        <v>430</v>
      </c>
      <c r="BV19" t="s">
        <v>431</v>
      </c>
      <c r="BW19" t="s">
        <v>430</v>
      </c>
      <c r="BX19" t="s">
        <v>431</v>
      </c>
    </row>
    <row r="20" spans="2:76" x14ac:dyDescent="0.3">
      <c r="B20" t="s">
        <v>45</v>
      </c>
      <c r="C20">
        <v>147</v>
      </c>
      <c r="D20" t="s">
        <v>430</v>
      </c>
      <c r="E20" t="s">
        <v>431</v>
      </c>
      <c r="F20" t="s">
        <v>430</v>
      </c>
      <c r="G20" t="s">
        <v>430</v>
      </c>
      <c r="H20" t="s">
        <v>430</v>
      </c>
      <c r="I20" t="s">
        <v>430</v>
      </c>
      <c r="J20" t="s">
        <v>430</v>
      </c>
      <c r="K20" t="s">
        <v>431</v>
      </c>
      <c r="L20" t="s">
        <v>430</v>
      </c>
      <c r="M20" t="s">
        <v>430</v>
      </c>
      <c r="N20" t="s">
        <v>430</v>
      </c>
      <c r="O20" t="s">
        <v>430</v>
      </c>
      <c r="P20" t="s">
        <v>430</v>
      </c>
      <c r="Q20" t="s">
        <v>430</v>
      </c>
      <c r="R20" t="s">
        <v>433</v>
      </c>
      <c r="S20" t="s">
        <v>431</v>
      </c>
      <c r="T20" t="s">
        <v>431</v>
      </c>
      <c r="U20" t="s">
        <v>430</v>
      </c>
      <c r="V20" t="s">
        <v>430</v>
      </c>
      <c r="W20" t="s">
        <v>430</v>
      </c>
      <c r="X20" t="s">
        <v>430</v>
      </c>
      <c r="Y20" t="s">
        <v>430</v>
      </c>
      <c r="Z20" t="s">
        <v>431</v>
      </c>
      <c r="AA20" t="s">
        <v>430</v>
      </c>
      <c r="AB20" t="s">
        <v>430</v>
      </c>
      <c r="AC20" t="s">
        <v>431</v>
      </c>
      <c r="AD20" t="s">
        <v>430</v>
      </c>
      <c r="AE20" t="s">
        <v>431</v>
      </c>
      <c r="AF20" t="s">
        <v>431</v>
      </c>
      <c r="AG20" t="s">
        <v>430</v>
      </c>
      <c r="AH20" t="s">
        <v>431</v>
      </c>
      <c r="AI20" t="s">
        <v>431</v>
      </c>
      <c r="AJ20" t="s">
        <v>431</v>
      </c>
      <c r="AK20" t="s">
        <v>430</v>
      </c>
      <c r="AL20" t="s">
        <v>431</v>
      </c>
      <c r="AM20" t="s">
        <v>431</v>
      </c>
      <c r="AN20" t="s">
        <v>430</v>
      </c>
      <c r="AO20" t="s">
        <v>430</v>
      </c>
      <c r="AP20" t="s">
        <v>431</v>
      </c>
      <c r="AQ20" t="s">
        <v>431</v>
      </c>
      <c r="AR20" t="s">
        <v>431</v>
      </c>
      <c r="AS20" t="s">
        <v>431</v>
      </c>
      <c r="AT20" t="s">
        <v>430</v>
      </c>
      <c r="AU20" t="s">
        <v>430</v>
      </c>
      <c r="AV20" t="s">
        <v>430</v>
      </c>
      <c r="AW20" t="s">
        <v>430</v>
      </c>
      <c r="AX20" t="s">
        <v>430</v>
      </c>
      <c r="AY20" t="s">
        <v>430</v>
      </c>
      <c r="AZ20" t="s">
        <v>430</v>
      </c>
      <c r="BA20" t="s">
        <v>430</v>
      </c>
      <c r="BB20" t="s">
        <v>430</v>
      </c>
      <c r="BC20" t="s">
        <v>430</v>
      </c>
      <c r="BD20" t="s">
        <v>430</v>
      </c>
      <c r="BE20" t="s">
        <v>430</v>
      </c>
      <c r="BF20" t="s">
        <v>431</v>
      </c>
      <c r="BG20" t="s">
        <v>431</v>
      </c>
      <c r="BH20" t="s">
        <v>431</v>
      </c>
      <c r="BI20" t="s">
        <v>430</v>
      </c>
      <c r="BJ20" t="s">
        <v>430</v>
      </c>
      <c r="BK20" t="s">
        <v>430</v>
      </c>
      <c r="BL20" t="s">
        <v>430</v>
      </c>
      <c r="BM20" t="s">
        <v>431</v>
      </c>
      <c r="BN20" t="s">
        <v>431</v>
      </c>
      <c r="BO20" t="s">
        <v>431</v>
      </c>
      <c r="BP20" t="s">
        <v>431</v>
      </c>
      <c r="BQ20" t="s">
        <v>431</v>
      </c>
      <c r="BR20" t="s">
        <v>430</v>
      </c>
      <c r="BS20" t="s">
        <v>430</v>
      </c>
      <c r="BT20" t="s">
        <v>430</v>
      </c>
      <c r="BU20" t="s">
        <v>430</v>
      </c>
      <c r="BV20" t="s">
        <v>431</v>
      </c>
      <c r="BW20" t="s">
        <v>431</v>
      </c>
      <c r="BX20" t="s">
        <v>430</v>
      </c>
    </row>
    <row r="21" spans="2:76" x14ac:dyDescent="0.3">
      <c r="B21" t="s">
        <v>46</v>
      </c>
      <c r="C21">
        <v>383</v>
      </c>
      <c r="D21" t="s">
        <v>430</v>
      </c>
      <c r="E21" t="s">
        <v>430</v>
      </c>
      <c r="F21" t="s">
        <v>430</v>
      </c>
      <c r="G21" t="s">
        <v>431</v>
      </c>
      <c r="H21" t="s">
        <v>431</v>
      </c>
      <c r="I21" t="s">
        <v>431</v>
      </c>
      <c r="J21" t="s">
        <v>431</v>
      </c>
      <c r="K21" t="s">
        <v>430</v>
      </c>
      <c r="L21" t="s">
        <v>430</v>
      </c>
      <c r="M21" t="s">
        <v>430</v>
      </c>
      <c r="N21" t="s">
        <v>430</v>
      </c>
      <c r="O21" t="s">
        <v>430</v>
      </c>
      <c r="P21" t="s">
        <v>430</v>
      </c>
      <c r="Q21" t="s">
        <v>431</v>
      </c>
      <c r="R21" t="s">
        <v>433</v>
      </c>
      <c r="S21" t="s">
        <v>430</v>
      </c>
      <c r="T21" t="s">
        <v>431</v>
      </c>
      <c r="U21" t="s">
        <v>431</v>
      </c>
      <c r="V21" t="s">
        <v>430</v>
      </c>
      <c r="W21" t="s">
        <v>431</v>
      </c>
      <c r="X21" t="s">
        <v>430</v>
      </c>
      <c r="Y21" t="s">
        <v>430</v>
      </c>
      <c r="Z21" t="s">
        <v>430</v>
      </c>
      <c r="AA21" t="s">
        <v>431</v>
      </c>
      <c r="AB21" t="s">
        <v>430</v>
      </c>
      <c r="AC21" t="s">
        <v>430</v>
      </c>
      <c r="AD21" t="s">
        <v>430</v>
      </c>
      <c r="AE21" t="s">
        <v>431</v>
      </c>
      <c r="AF21" t="s">
        <v>430</v>
      </c>
      <c r="AG21" t="s">
        <v>430</v>
      </c>
      <c r="AH21" t="s">
        <v>431</v>
      </c>
      <c r="AI21" t="s">
        <v>431</v>
      </c>
      <c r="AJ21" t="s">
        <v>431</v>
      </c>
      <c r="AK21" t="s">
        <v>430</v>
      </c>
      <c r="AL21" t="s">
        <v>431</v>
      </c>
      <c r="AM21" t="s">
        <v>431</v>
      </c>
      <c r="AN21" t="s">
        <v>430</v>
      </c>
      <c r="AO21" t="s">
        <v>431</v>
      </c>
      <c r="AP21" t="s">
        <v>430</v>
      </c>
      <c r="AQ21" t="s">
        <v>431</v>
      </c>
      <c r="AR21" t="s">
        <v>431</v>
      </c>
      <c r="AS21" t="s">
        <v>431</v>
      </c>
      <c r="AT21" t="s">
        <v>431</v>
      </c>
      <c r="AU21" t="s">
        <v>430</v>
      </c>
      <c r="AV21" t="s">
        <v>430</v>
      </c>
      <c r="AW21" t="s">
        <v>430</v>
      </c>
      <c r="AX21" t="s">
        <v>430</v>
      </c>
      <c r="AY21" t="s">
        <v>430</v>
      </c>
      <c r="AZ21" t="s">
        <v>430</v>
      </c>
      <c r="BA21" t="s">
        <v>430</v>
      </c>
      <c r="BB21" t="s">
        <v>430</v>
      </c>
      <c r="BC21" t="s">
        <v>430</v>
      </c>
      <c r="BD21" t="s">
        <v>431</v>
      </c>
      <c r="BE21" t="s">
        <v>430</v>
      </c>
      <c r="BF21" t="s">
        <v>431</v>
      </c>
      <c r="BG21" t="s">
        <v>431</v>
      </c>
      <c r="BH21" t="s">
        <v>431</v>
      </c>
      <c r="BI21" t="s">
        <v>430</v>
      </c>
      <c r="BJ21" t="s">
        <v>430</v>
      </c>
      <c r="BK21" t="s">
        <v>430</v>
      </c>
      <c r="BL21" t="s">
        <v>430</v>
      </c>
      <c r="BM21" t="s">
        <v>431</v>
      </c>
      <c r="BN21" t="s">
        <v>431</v>
      </c>
      <c r="BO21" t="s">
        <v>431</v>
      </c>
      <c r="BP21" t="s">
        <v>431</v>
      </c>
      <c r="BQ21" t="s">
        <v>430</v>
      </c>
      <c r="BR21" t="s">
        <v>430</v>
      </c>
      <c r="BS21" t="s">
        <v>431</v>
      </c>
      <c r="BT21" t="s">
        <v>430</v>
      </c>
      <c r="BU21" t="s">
        <v>430</v>
      </c>
      <c r="BV21" t="s">
        <v>430</v>
      </c>
      <c r="BW21" t="s">
        <v>430</v>
      </c>
      <c r="BX21" t="s">
        <v>430</v>
      </c>
    </row>
    <row r="22" spans="2:76" x14ac:dyDescent="0.3">
      <c r="B22" t="s">
        <v>47</v>
      </c>
      <c r="C22">
        <v>147</v>
      </c>
      <c r="D22" t="s">
        <v>430</v>
      </c>
      <c r="E22" t="s">
        <v>430</v>
      </c>
      <c r="F22" t="s">
        <v>430</v>
      </c>
      <c r="G22" t="s">
        <v>430</v>
      </c>
      <c r="H22" t="s">
        <v>430</v>
      </c>
      <c r="I22" t="s">
        <v>430</v>
      </c>
      <c r="J22" t="s">
        <v>430</v>
      </c>
      <c r="K22" t="s">
        <v>430</v>
      </c>
      <c r="L22" t="s">
        <v>430</v>
      </c>
      <c r="M22" t="s">
        <v>430</v>
      </c>
      <c r="N22" t="s">
        <v>430</v>
      </c>
      <c r="O22" t="s">
        <v>430</v>
      </c>
      <c r="P22" t="s">
        <v>430</v>
      </c>
      <c r="Q22" t="s">
        <v>431</v>
      </c>
      <c r="R22" t="s">
        <v>433</v>
      </c>
      <c r="S22" t="s">
        <v>431</v>
      </c>
      <c r="T22" t="s">
        <v>430</v>
      </c>
      <c r="U22" t="s">
        <v>430</v>
      </c>
      <c r="V22" t="s">
        <v>430</v>
      </c>
      <c r="W22" t="s">
        <v>430</v>
      </c>
      <c r="X22" t="s">
        <v>430</v>
      </c>
      <c r="Y22" t="s">
        <v>430</v>
      </c>
      <c r="Z22" t="s">
        <v>430</v>
      </c>
      <c r="AA22" t="s">
        <v>430</v>
      </c>
      <c r="AB22" t="s">
        <v>430</v>
      </c>
      <c r="AC22" t="s">
        <v>430</v>
      </c>
      <c r="AD22" t="s">
        <v>430</v>
      </c>
      <c r="AE22" t="s">
        <v>431</v>
      </c>
      <c r="AF22" t="s">
        <v>430</v>
      </c>
      <c r="AG22" t="s">
        <v>430</v>
      </c>
      <c r="AH22" t="s">
        <v>431</v>
      </c>
      <c r="AI22" t="s">
        <v>431</v>
      </c>
      <c r="AJ22" t="s">
        <v>431</v>
      </c>
      <c r="AK22" t="s">
        <v>430</v>
      </c>
      <c r="AL22" t="s">
        <v>431</v>
      </c>
      <c r="AM22" t="s">
        <v>431</v>
      </c>
      <c r="AN22" t="s">
        <v>430</v>
      </c>
      <c r="AO22" t="s">
        <v>430</v>
      </c>
      <c r="AP22" t="s">
        <v>430</v>
      </c>
      <c r="AQ22" t="s">
        <v>431</v>
      </c>
      <c r="AR22" t="s">
        <v>431</v>
      </c>
      <c r="AS22" t="s">
        <v>431</v>
      </c>
      <c r="AT22" t="s">
        <v>430</v>
      </c>
      <c r="AU22" t="s">
        <v>430</v>
      </c>
      <c r="AV22" t="s">
        <v>430</v>
      </c>
      <c r="AW22" t="s">
        <v>430</v>
      </c>
      <c r="AX22" t="s">
        <v>430</v>
      </c>
      <c r="AY22" t="s">
        <v>430</v>
      </c>
      <c r="AZ22" t="s">
        <v>430</v>
      </c>
      <c r="BA22" t="s">
        <v>430</v>
      </c>
      <c r="BB22" t="s">
        <v>430</v>
      </c>
      <c r="BC22" t="s">
        <v>430</v>
      </c>
      <c r="BD22" t="s">
        <v>430</v>
      </c>
      <c r="BE22" t="s">
        <v>430</v>
      </c>
      <c r="BF22" t="s">
        <v>431</v>
      </c>
      <c r="BG22" t="s">
        <v>431</v>
      </c>
      <c r="BH22" t="s">
        <v>431</v>
      </c>
      <c r="BI22" t="s">
        <v>430</v>
      </c>
      <c r="BJ22" t="s">
        <v>430</v>
      </c>
      <c r="BK22" t="s">
        <v>430</v>
      </c>
      <c r="BL22" t="s">
        <v>430</v>
      </c>
      <c r="BM22" t="s">
        <v>431</v>
      </c>
      <c r="BN22" t="s">
        <v>431</v>
      </c>
      <c r="BO22" t="s">
        <v>431</v>
      </c>
      <c r="BP22" t="s">
        <v>431</v>
      </c>
      <c r="BQ22" t="s">
        <v>430</v>
      </c>
      <c r="BR22" t="s">
        <v>430</v>
      </c>
      <c r="BS22" t="s">
        <v>430</v>
      </c>
      <c r="BT22" t="s">
        <v>430</v>
      </c>
      <c r="BU22" t="s">
        <v>430</v>
      </c>
      <c r="BV22" t="s">
        <v>430</v>
      </c>
      <c r="BW22" t="s">
        <v>430</v>
      </c>
      <c r="BX22" t="s">
        <v>430</v>
      </c>
    </row>
    <row r="23" spans="2:76" x14ac:dyDescent="0.3">
      <c r="B23" t="s">
        <v>48</v>
      </c>
      <c r="C23">
        <v>1128</v>
      </c>
      <c r="D23" t="s">
        <v>430</v>
      </c>
      <c r="E23" t="s">
        <v>430</v>
      </c>
      <c r="F23" t="s">
        <v>430</v>
      </c>
      <c r="G23" t="s">
        <v>431</v>
      </c>
      <c r="H23" t="s">
        <v>430</v>
      </c>
      <c r="I23" t="s">
        <v>431</v>
      </c>
      <c r="J23" t="s">
        <v>431</v>
      </c>
      <c r="K23" t="s">
        <v>431</v>
      </c>
      <c r="L23" t="s">
        <v>431</v>
      </c>
      <c r="M23" t="s">
        <v>430</v>
      </c>
      <c r="N23" t="s">
        <v>430</v>
      </c>
      <c r="O23" t="s">
        <v>430</v>
      </c>
      <c r="P23" t="s">
        <v>430</v>
      </c>
      <c r="Q23" t="s">
        <v>430</v>
      </c>
      <c r="R23" t="s">
        <v>435</v>
      </c>
      <c r="S23" t="s">
        <v>431</v>
      </c>
      <c r="T23" t="s">
        <v>431</v>
      </c>
      <c r="U23" t="s">
        <v>430</v>
      </c>
      <c r="V23" t="s">
        <v>431</v>
      </c>
      <c r="W23" t="s">
        <v>430</v>
      </c>
      <c r="X23" t="s">
        <v>430</v>
      </c>
      <c r="Y23" t="s">
        <v>430</v>
      </c>
      <c r="Z23" t="s">
        <v>430</v>
      </c>
      <c r="AA23" t="s">
        <v>430</v>
      </c>
      <c r="AB23" t="s">
        <v>430</v>
      </c>
      <c r="AC23" t="s">
        <v>430</v>
      </c>
      <c r="AD23" t="s">
        <v>430</v>
      </c>
      <c r="AE23" t="s">
        <v>431</v>
      </c>
      <c r="AF23" t="s">
        <v>430</v>
      </c>
      <c r="AG23" t="s">
        <v>430</v>
      </c>
      <c r="AH23" t="s">
        <v>431</v>
      </c>
      <c r="AI23" t="s">
        <v>431</v>
      </c>
      <c r="AJ23" t="s">
        <v>431</v>
      </c>
      <c r="AK23" t="s">
        <v>430</v>
      </c>
      <c r="AL23" t="s">
        <v>431</v>
      </c>
      <c r="AM23" t="s">
        <v>431</v>
      </c>
      <c r="AN23" t="s">
        <v>430</v>
      </c>
      <c r="AO23" t="s">
        <v>430</v>
      </c>
      <c r="AP23" t="s">
        <v>431</v>
      </c>
      <c r="AQ23" t="s">
        <v>431</v>
      </c>
      <c r="AR23" t="s">
        <v>430</v>
      </c>
      <c r="AS23" t="s">
        <v>431</v>
      </c>
      <c r="AT23" t="s">
        <v>431</v>
      </c>
      <c r="AU23" t="s">
        <v>430</v>
      </c>
      <c r="AV23" t="s">
        <v>430</v>
      </c>
      <c r="AW23" t="s">
        <v>430</v>
      </c>
      <c r="AX23" t="s">
        <v>430</v>
      </c>
      <c r="AY23" t="s">
        <v>431</v>
      </c>
      <c r="AZ23" t="s">
        <v>430</v>
      </c>
      <c r="BA23" t="s">
        <v>431</v>
      </c>
      <c r="BB23" t="s">
        <v>431</v>
      </c>
      <c r="BC23" t="s">
        <v>430</v>
      </c>
      <c r="BD23" t="s">
        <v>431</v>
      </c>
      <c r="BE23" t="s">
        <v>430</v>
      </c>
      <c r="BF23" t="s">
        <v>431</v>
      </c>
      <c r="BG23" t="s">
        <v>431</v>
      </c>
      <c r="BH23" t="s">
        <v>431</v>
      </c>
      <c r="BI23" t="s">
        <v>430</v>
      </c>
      <c r="BJ23" t="s">
        <v>430</v>
      </c>
      <c r="BK23" t="s">
        <v>430</v>
      </c>
      <c r="BL23" t="s">
        <v>430</v>
      </c>
      <c r="BM23" t="s">
        <v>431</v>
      </c>
      <c r="BN23" t="s">
        <v>431</v>
      </c>
      <c r="BO23" t="s">
        <v>431</v>
      </c>
      <c r="BP23" t="s">
        <v>431</v>
      </c>
      <c r="BQ23" t="s">
        <v>430</v>
      </c>
      <c r="BR23" t="s">
        <v>430</v>
      </c>
      <c r="BS23" t="s">
        <v>430</v>
      </c>
      <c r="BT23" t="s">
        <v>430</v>
      </c>
      <c r="BU23" t="s">
        <v>430</v>
      </c>
      <c r="BV23" t="s">
        <v>431</v>
      </c>
      <c r="BW23" t="s">
        <v>430</v>
      </c>
      <c r="BX23" t="s">
        <v>430</v>
      </c>
    </row>
    <row r="24" spans="2:76" x14ac:dyDescent="0.3">
      <c r="B24" t="s">
        <v>49</v>
      </c>
      <c r="C24">
        <v>231</v>
      </c>
      <c r="D24" t="s">
        <v>431</v>
      </c>
      <c r="E24" t="s">
        <v>431</v>
      </c>
      <c r="F24" t="s">
        <v>430</v>
      </c>
      <c r="G24" t="s">
        <v>431</v>
      </c>
      <c r="H24" t="s">
        <v>430</v>
      </c>
      <c r="I24" t="s">
        <v>431</v>
      </c>
      <c r="J24" t="s">
        <v>431</v>
      </c>
      <c r="K24" t="s">
        <v>431</v>
      </c>
      <c r="L24" t="s">
        <v>431</v>
      </c>
      <c r="M24" t="s">
        <v>430</v>
      </c>
      <c r="N24" t="s">
        <v>430</v>
      </c>
      <c r="O24" t="s">
        <v>431</v>
      </c>
      <c r="P24" t="s">
        <v>430</v>
      </c>
      <c r="Q24" t="s">
        <v>431</v>
      </c>
      <c r="R24" t="s">
        <v>433</v>
      </c>
      <c r="S24" t="s">
        <v>431</v>
      </c>
      <c r="T24" t="s">
        <v>431</v>
      </c>
      <c r="U24" t="s">
        <v>430</v>
      </c>
      <c r="V24" t="s">
        <v>430</v>
      </c>
      <c r="W24" t="s">
        <v>430</v>
      </c>
      <c r="X24" t="s">
        <v>430</v>
      </c>
      <c r="Y24" t="s">
        <v>430</v>
      </c>
      <c r="Z24" t="s">
        <v>430</v>
      </c>
      <c r="AA24" t="s">
        <v>430</v>
      </c>
      <c r="AB24" t="s">
        <v>430</v>
      </c>
      <c r="AC24" t="s">
        <v>431</v>
      </c>
      <c r="AD24" t="s">
        <v>431</v>
      </c>
      <c r="AE24" t="s">
        <v>431</v>
      </c>
      <c r="AF24" t="s">
        <v>431</v>
      </c>
      <c r="AG24" t="s">
        <v>430</v>
      </c>
      <c r="AH24" t="s">
        <v>431</v>
      </c>
      <c r="AI24" t="s">
        <v>431</v>
      </c>
      <c r="AJ24" t="s">
        <v>431</v>
      </c>
      <c r="AK24" t="s">
        <v>430</v>
      </c>
      <c r="AL24" t="s">
        <v>431</v>
      </c>
      <c r="AM24" t="s">
        <v>431</v>
      </c>
      <c r="AN24" t="s">
        <v>430</v>
      </c>
      <c r="AO24" t="s">
        <v>431</v>
      </c>
      <c r="AP24" t="s">
        <v>430</v>
      </c>
      <c r="AQ24" t="s">
        <v>431</v>
      </c>
      <c r="AR24" t="s">
        <v>431</v>
      </c>
      <c r="AS24" t="s">
        <v>431</v>
      </c>
      <c r="AT24" t="s">
        <v>431</v>
      </c>
      <c r="AU24" t="s">
        <v>430</v>
      </c>
      <c r="AV24" t="s">
        <v>430</v>
      </c>
      <c r="AW24" t="s">
        <v>430</v>
      </c>
      <c r="AX24" t="s">
        <v>430</v>
      </c>
      <c r="AY24" t="s">
        <v>431</v>
      </c>
      <c r="AZ24" t="s">
        <v>431</v>
      </c>
      <c r="BA24" t="s">
        <v>431</v>
      </c>
      <c r="BB24" t="s">
        <v>431</v>
      </c>
      <c r="BC24" t="s">
        <v>430</v>
      </c>
      <c r="BD24" t="s">
        <v>431</v>
      </c>
      <c r="BE24" t="s">
        <v>430</v>
      </c>
      <c r="BF24" t="s">
        <v>431</v>
      </c>
      <c r="BG24" t="s">
        <v>431</v>
      </c>
      <c r="BH24" t="s">
        <v>431</v>
      </c>
      <c r="BI24" t="s">
        <v>430</v>
      </c>
      <c r="BJ24" t="s">
        <v>430</v>
      </c>
      <c r="BK24" t="s">
        <v>430</v>
      </c>
      <c r="BL24" t="s">
        <v>430</v>
      </c>
      <c r="BM24" t="s">
        <v>431</v>
      </c>
      <c r="BN24" t="s">
        <v>431</v>
      </c>
      <c r="BO24" t="s">
        <v>431</v>
      </c>
      <c r="BP24" t="s">
        <v>431</v>
      </c>
      <c r="BQ24" t="s">
        <v>430</v>
      </c>
      <c r="BR24" t="s">
        <v>430</v>
      </c>
      <c r="BS24" t="s">
        <v>430</v>
      </c>
      <c r="BT24" t="s">
        <v>430</v>
      </c>
      <c r="BU24" t="s">
        <v>430</v>
      </c>
      <c r="BV24" t="s">
        <v>431</v>
      </c>
      <c r="BW24" t="s">
        <v>430</v>
      </c>
      <c r="BX24" t="s">
        <v>431</v>
      </c>
    </row>
    <row r="25" spans="2:76" x14ac:dyDescent="0.3">
      <c r="B25" t="s">
        <v>50</v>
      </c>
      <c r="C25">
        <v>101</v>
      </c>
      <c r="D25" t="s">
        <v>430</v>
      </c>
      <c r="E25" t="s">
        <v>431</v>
      </c>
      <c r="F25" t="s">
        <v>430</v>
      </c>
      <c r="G25" t="s">
        <v>430</v>
      </c>
      <c r="H25" t="s">
        <v>431</v>
      </c>
      <c r="I25" t="s">
        <v>430</v>
      </c>
      <c r="J25" t="s">
        <v>430</v>
      </c>
      <c r="K25" t="s">
        <v>431</v>
      </c>
      <c r="L25" t="s">
        <v>430</v>
      </c>
      <c r="M25" t="s">
        <v>430</v>
      </c>
      <c r="N25" t="s">
        <v>430</v>
      </c>
      <c r="O25" t="s">
        <v>430</v>
      </c>
      <c r="P25" t="s">
        <v>430</v>
      </c>
      <c r="Q25" t="s">
        <v>430</v>
      </c>
      <c r="R25" t="s">
        <v>433</v>
      </c>
      <c r="S25" t="s">
        <v>431</v>
      </c>
      <c r="T25" t="s">
        <v>431</v>
      </c>
      <c r="U25" t="s">
        <v>430</v>
      </c>
      <c r="V25" t="s">
        <v>430</v>
      </c>
      <c r="W25" t="s">
        <v>430</v>
      </c>
      <c r="X25" t="s">
        <v>430</v>
      </c>
      <c r="Y25" t="s">
        <v>430</v>
      </c>
      <c r="Z25" t="s">
        <v>430</v>
      </c>
      <c r="AA25" t="s">
        <v>430</v>
      </c>
      <c r="AB25" t="s">
        <v>430</v>
      </c>
      <c r="AC25" t="s">
        <v>430</v>
      </c>
      <c r="AD25" t="s">
        <v>431</v>
      </c>
      <c r="AE25" t="s">
        <v>431</v>
      </c>
      <c r="AF25" t="s">
        <v>431</v>
      </c>
      <c r="AG25" t="s">
        <v>430</v>
      </c>
      <c r="AH25" t="s">
        <v>431</v>
      </c>
      <c r="AI25" t="s">
        <v>431</v>
      </c>
      <c r="AJ25" t="s">
        <v>431</v>
      </c>
      <c r="AK25" t="s">
        <v>430</v>
      </c>
      <c r="AL25" t="s">
        <v>431</v>
      </c>
      <c r="AM25" t="s">
        <v>431</v>
      </c>
      <c r="AN25" t="s">
        <v>430</v>
      </c>
      <c r="AO25" t="s">
        <v>430</v>
      </c>
      <c r="AP25" t="s">
        <v>431</v>
      </c>
      <c r="AQ25" t="s">
        <v>431</v>
      </c>
      <c r="AR25" t="s">
        <v>431</v>
      </c>
      <c r="AS25" t="s">
        <v>431</v>
      </c>
      <c r="AT25" t="s">
        <v>431</v>
      </c>
      <c r="AU25" t="s">
        <v>431</v>
      </c>
      <c r="AV25" t="s">
        <v>431</v>
      </c>
      <c r="AW25" t="s">
        <v>430</v>
      </c>
      <c r="AX25" t="s">
        <v>430</v>
      </c>
      <c r="AY25" t="s">
        <v>430</v>
      </c>
      <c r="AZ25" t="s">
        <v>430</v>
      </c>
      <c r="BA25" t="s">
        <v>431</v>
      </c>
      <c r="BB25" t="s">
        <v>431</v>
      </c>
      <c r="BC25" t="s">
        <v>430</v>
      </c>
      <c r="BD25" t="s">
        <v>430</v>
      </c>
      <c r="BE25" t="s">
        <v>430</v>
      </c>
      <c r="BF25" t="s">
        <v>431</v>
      </c>
      <c r="BG25" t="s">
        <v>431</v>
      </c>
      <c r="BH25" t="s">
        <v>431</v>
      </c>
      <c r="BI25" t="s">
        <v>430</v>
      </c>
      <c r="BJ25" t="s">
        <v>430</v>
      </c>
      <c r="BK25" t="s">
        <v>430</v>
      </c>
      <c r="BL25" t="s">
        <v>430</v>
      </c>
      <c r="BM25" t="s">
        <v>431</v>
      </c>
      <c r="BN25" t="s">
        <v>431</v>
      </c>
      <c r="BO25" t="s">
        <v>431</v>
      </c>
      <c r="BP25" t="s">
        <v>431</v>
      </c>
      <c r="BQ25" t="s">
        <v>430</v>
      </c>
      <c r="BR25" t="s">
        <v>430</v>
      </c>
      <c r="BS25" t="s">
        <v>431</v>
      </c>
      <c r="BT25" t="s">
        <v>431</v>
      </c>
      <c r="BU25" t="s">
        <v>430</v>
      </c>
      <c r="BV25" t="s">
        <v>431</v>
      </c>
      <c r="BW25" t="s">
        <v>430</v>
      </c>
      <c r="BX25" t="s">
        <v>431</v>
      </c>
    </row>
    <row r="26" spans="2:76" x14ac:dyDescent="0.3">
      <c r="B26" t="s">
        <v>51</v>
      </c>
      <c r="C26">
        <v>101</v>
      </c>
      <c r="D26" t="s">
        <v>430</v>
      </c>
      <c r="E26" t="s">
        <v>431</v>
      </c>
      <c r="F26" t="s">
        <v>430</v>
      </c>
      <c r="G26" t="s">
        <v>431</v>
      </c>
      <c r="H26" t="s">
        <v>431</v>
      </c>
      <c r="I26" t="s">
        <v>431</v>
      </c>
      <c r="J26" t="s">
        <v>431</v>
      </c>
      <c r="K26" t="s">
        <v>431</v>
      </c>
      <c r="L26" t="s">
        <v>430</v>
      </c>
      <c r="M26" t="s">
        <v>430</v>
      </c>
      <c r="N26" t="s">
        <v>431</v>
      </c>
      <c r="O26" t="s">
        <v>430</v>
      </c>
      <c r="P26" t="s">
        <v>430</v>
      </c>
      <c r="Q26" t="s">
        <v>431</v>
      </c>
      <c r="R26" t="s">
        <v>433</v>
      </c>
      <c r="S26" t="s">
        <v>431</v>
      </c>
      <c r="T26" t="s">
        <v>431</v>
      </c>
      <c r="U26" t="s">
        <v>430</v>
      </c>
      <c r="V26" t="s">
        <v>430</v>
      </c>
      <c r="W26" t="s">
        <v>430</v>
      </c>
      <c r="X26" t="s">
        <v>430</v>
      </c>
      <c r="Y26" t="s">
        <v>430</v>
      </c>
      <c r="Z26" t="s">
        <v>430</v>
      </c>
      <c r="AA26" t="s">
        <v>430</v>
      </c>
      <c r="AB26" t="s">
        <v>430</v>
      </c>
      <c r="AC26" t="s">
        <v>430</v>
      </c>
      <c r="AD26" t="s">
        <v>431</v>
      </c>
      <c r="AE26" t="s">
        <v>431</v>
      </c>
      <c r="AF26" t="s">
        <v>431</v>
      </c>
      <c r="AG26" t="s">
        <v>430</v>
      </c>
      <c r="AH26" t="s">
        <v>431</v>
      </c>
      <c r="AI26" t="s">
        <v>431</v>
      </c>
      <c r="AJ26" t="s">
        <v>431</v>
      </c>
      <c r="AK26" t="s">
        <v>430</v>
      </c>
      <c r="AL26" t="s">
        <v>431</v>
      </c>
      <c r="AM26" t="s">
        <v>431</v>
      </c>
      <c r="AN26" t="s">
        <v>430</v>
      </c>
      <c r="AO26" t="s">
        <v>430</v>
      </c>
      <c r="AP26" t="s">
        <v>431</v>
      </c>
      <c r="AQ26" t="s">
        <v>431</v>
      </c>
      <c r="AR26" t="s">
        <v>431</v>
      </c>
      <c r="AS26" t="s">
        <v>431</v>
      </c>
      <c r="AT26" t="s">
        <v>431</v>
      </c>
      <c r="AU26" t="s">
        <v>430</v>
      </c>
      <c r="AV26" t="s">
        <v>431</v>
      </c>
      <c r="AW26" t="s">
        <v>431</v>
      </c>
      <c r="AX26" t="s">
        <v>431</v>
      </c>
      <c r="AY26" t="s">
        <v>430</v>
      </c>
      <c r="AZ26" t="s">
        <v>430</v>
      </c>
      <c r="BA26" t="s">
        <v>431</v>
      </c>
      <c r="BB26" t="s">
        <v>431</v>
      </c>
      <c r="BC26" t="s">
        <v>430</v>
      </c>
      <c r="BD26" t="s">
        <v>431</v>
      </c>
      <c r="BE26" t="s">
        <v>430</v>
      </c>
      <c r="BF26" t="s">
        <v>431</v>
      </c>
      <c r="BG26" t="s">
        <v>431</v>
      </c>
      <c r="BH26" t="s">
        <v>431</v>
      </c>
      <c r="BI26" t="s">
        <v>430</v>
      </c>
      <c r="BJ26" t="s">
        <v>430</v>
      </c>
      <c r="BK26" t="s">
        <v>430</v>
      </c>
      <c r="BL26" t="s">
        <v>430</v>
      </c>
      <c r="BM26" t="s">
        <v>431</v>
      </c>
      <c r="BN26" t="s">
        <v>431</v>
      </c>
      <c r="BO26" t="s">
        <v>431</v>
      </c>
      <c r="BP26" t="s">
        <v>431</v>
      </c>
      <c r="BQ26" t="s">
        <v>430</v>
      </c>
      <c r="BR26" t="s">
        <v>430</v>
      </c>
      <c r="BS26" t="s">
        <v>430</v>
      </c>
      <c r="BT26" t="s">
        <v>430</v>
      </c>
      <c r="BU26" t="s">
        <v>431</v>
      </c>
      <c r="BV26" t="s">
        <v>431</v>
      </c>
      <c r="BW26" t="s">
        <v>430</v>
      </c>
      <c r="BX26" t="s">
        <v>431</v>
      </c>
    </row>
    <row r="27" spans="2:76" x14ac:dyDescent="0.3">
      <c r="B27" t="s">
        <v>52</v>
      </c>
      <c r="C27">
        <v>751</v>
      </c>
      <c r="D27" t="s">
        <v>430</v>
      </c>
      <c r="E27" t="s">
        <v>430</v>
      </c>
      <c r="F27" t="s">
        <v>430</v>
      </c>
      <c r="G27" t="s">
        <v>431</v>
      </c>
      <c r="H27" t="s">
        <v>431</v>
      </c>
      <c r="I27" t="s">
        <v>430</v>
      </c>
      <c r="J27" t="s">
        <v>430</v>
      </c>
      <c r="K27" t="s">
        <v>430</v>
      </c>
      <c r="L27" t="s">
        <v>430</v>
      </c>
      <c r="M27" t="s">
        <v>430</v>
      </c>
      <c r="N27" t="s">
        <v>431</v>
      </c>
      <c r="O27" t="s">
        <v>430</v>
      </c>
      <c r="P27" t="s">
        <v>430</v>
      </c>
      <c r="Q27" t="s">
        <v>431</v>
      </c>
      <c r="R27" t="s">
        <v>433</v>
      </c>
      <c r="S27" t="s">
        <v>431</v>
      </c>
      <c r="T27" t="s">
        <v>430</v>
      </c>
      <c r="U27" t="s">
        <v>431</v>
      </c>
      <c r="V27" t="s">
        <v>430</v>
      </c>
      <c r="W27" t="s">
        <v>430</v>
      </c>
      <c r="X27" t="s">
        <v>430</v>
      </c>
      <c r="Y27" t="s">
        <v>430</v>
      </c>
      <c r="Z27" t="s">
        <v>430</v>
      </c>
      <c r="AA27" t="s">
        <v>430</v>
      </c>
      <c r="AB27" t="s">
        <v>430</v>
      </c>
      <c r="AC27" t="s">
        <v>430</v>
      </c>
      <c r="AD27" t="s">
        <v>430</v>
      </c>
      <c r="AE27" t="s">
        <v>431</v>
      </c>
      <c r="AF27" t="s">
        <v>430</v>
      </c>
      <c r="AG27" t="s">
        <v>431</v>
      </c>
      <c r="AH27" t="s">
        <v>431</v>
      </c>
      <c r="AI27" t="s">
        <v>431</v>
      </c>
      <c r="AJ27" t="s">
        <v>431</v>
      </c>
      <c r="AK27" t="s">
        <v>430</v>
      </c>
      <c r="AL27" t="s">
        <v>431</v>
      </c>
      <c r="AM27" t="s">
        <v>431</v>
      </c>
      <c r="AN27" t="s">
        <v>431</v>
      </c>
      <c r="AO27" t="s">
        <v>430</v>
      </c>
      <c r="AP27" t="s">
        <v>431</v>
      </c>
      <c r="AQ27" t="s">
        <v>431</v>
      </c>
      <c r="AR27" t="s">
        <v>431</v>
      </c>
      <c r="AS27" t="s">
        <v>431</v>
      </c>
      <c r="AT27" t="s">
        <v>431</v>
      </c>
      <c r="AU27" t="s">
        <v>430</v>
      </c>
      <c r="AV27" t="s">
        <v>431</v>
      </c>
      <c r="AW27" t="s">
        <v>431</v>
      </c>
      <c r="AX27" t="s">
        <v>431</v>
      </c>
      <c r="AY27" t="s">
        <v>430</v>
      </c>
      <c r="AZ27" t="s">
        <v>430</v>
      </c>
      <c r="BA27" t="s">
        <v>431</v>
      </c>
      <c r="BB27" t="s">
        <v>431</v>
      </c>
      <c r="BC27" t="s">
        <v>430</v>
      </c>
      <c r="BD27" t="s">
        <v>430</v>
      </c>
      <c r="BE27" t="s">
        <v>430</v>
      </c>
      <c r="BF27" t="s">
        <v>431</v>
      </c>
      <c r="BG27" t="s">
        <v>431</v>
      </c>
      <c r="BH27" t="s">
        <v>431</v>
      </c>
      <c r="BI27" t="s">
        <v>430</v>
      </c>
      <c r="BJ27" t="s">
        <v>430</v>
      </c>
      <c r="BK27" t="s">
        <v>430</v>
      </c>
      <c r="BL27" t="s">
        <v>430</v>
      </c>
      <c r="BM27" t="s">
        <v>431</v>
      </c>
      <c r="BN27" t="s">
        <v>431</v>
      </c>
      <c r="BO27" t="s">
        <v>431</v>
      </c>
      <c r="BP27" t="s">
        <v>431</v>
      </c>
      <c r="BQ27" t="s">
        <v>430</v>
      </c>
      <c r="BR27" t="s">
        <v>430</v>
      </c>
      <c r="BS27" t="s">
        <v>430</v>
      </c>
      <c r="BT27" t="s">
        <v>431</v>
      </c>
      <c r="BU27" t="s">
        <v>430</v>
      </c>
      <c r="BV27" t="s">
        <v>431</v>
      </c>
      <c r="BW27" t="s">
        <v>430</v>
      </c>
      <c r="BX27" t="s">
        <v>430</v>
      </c>
    </row>
    <row r="28" spans="2:76" x14ac:dyDescent="0.3">
      <c r="B28" t="s">
        <v>53</v>
      </c>
      <c r="C28">
        <v>1777</v>
      </c>
      <c r="D28" t="s">
        <v>430</v>
      </c>
      <c r="E28" t="s">
        <v>431</v>
      </c>
      <c r="F28" t="s">
        <v>430</v>
      </c>
      <c r="G28" t="s">
        <v>431</v>
      </c>
      <c r="H28" t="s">
        <v>431</v>
      </c>
      <c r="I28" t="s">
        <v>430</v>
      </c>
      <c r="J28" t="s">
        <v>430</v>
      </c>
      <c r="K28" t="s">
        <v>431</v>
      </c>
      <c r="L28" t="s">
        <v>430</v>
      </c>
      <c r="M28" t="s">
        <v>430</v>
      </c>
      <c r="N28" t="s">
        <v>431</v>
      </c>
      <c r="O28" t="s">
        <v>430</v>
      </c>
      <c r="P28" t="s">
        <v>430</v>
      </c>
      <c r="Q28" t="s">
        <v>431</v>
      </c>
      <c r="R28" t="s">
        <v>433</v>
      </c>
      <c r="S28" t="s">
        <v>430</v>
      </c>
      <c r="T28" t="s">
        <v>431</v>
      </c>
      <c r="U28" t="s">
        <v>430</v>
      </c>
      <c r="V28" t="s">
        <v>430</v>
      </c>
      <c r="W28" t="s">
        <v>431</v>
      </c>
      <c r="X28" t="s">
        <v>430</v>
      </c>
      <c r="Y28" t="s">
        <v>430</v>
      </c>
      <c r="Z28" t="s">
        <v>430</v>
      </c>
      <c r="AA28" t="s">
        <v>430</v>
      </c>
      <c r="AB28" t="s">
        <v>430</v>
      </c>
      <c r="AC28" t="s">
        <v>430</v>
      </c>
      <c r="AD28" t="s">
        <v>431</v>
      </c>
      <c r="AE28" t="s">
        <v>431</v>
      </c>
      <c r="AF28" t="s">
        <v>431</v>
      </c>
      <c r="AG28" t="s">
        <v>430</v>
      </c>
      <c r="AH28" t="s">
        <v>431</v>
      </c>
      <c r="AI28" t="s">
        <v>431</v>
      </c>
      <c r="AJ28" t="s">
        <v>431</v>
      </c>
      <c r="AK28" t="s">
        <v>430</v>
      </c>
      <c r="AL28" t="s">
        <v>431</v>
      </c>
      <c r="AM28" t="s">
        <v>431</v>
      </c>
      <c r="AN28" t="s">
        <v>430</v>
      </c>
      <c r="AO28" t="s">
        <v>430</v>
      </c>
      <c r="AP28" t="s">
        <v>431</v>
      </c>
      <c r="AQ28" t="s">
        <v>431</v>
      </c>
      <c r="AR28" t="s">
        <v>431</v>
      </c>
      <c r="AS28" t="s">
        <v>431</v>
      </c>
      <c r="AT28" t="s">
        <v>431</v>
      </c>
      <c r="AU28" t="s">
        <v>430</v>
      </c>
      <c r="AV28" t="s">
        <v>431</v>
      </c>
      <c r="AW28" t="s">
        <v>431</v>
      </c>
      <c r="AX28" t="s">
        <v>431</v>
      </c>
      <c r="AY28" t="s">
        <v>430</v>
      </c>
      <c r="AZ28" t="s">
        <v>430</v>
      </c>
      <c r="BA28" t="s">
        <v>431</v>
      </c>
      <c r="BB28" t="s">
        <v>431</v>
      </c>
      <c r="BC28" t="s">
        <v>431</v>
      </c>
      <c r="BD28" t="s">
        <v>430</v>
      </c>
      <c r="BE28" t="s">
        <v>430</v>
      </c>
      <c r="BF28" t="s">
        <v>431</v>
      </c>
      <c r="BG28" t="s">
        <v>431</v>
      </c>
      <c r="BH28" t="s">
        <v>431</v>
      </c>
      <c r="BI28" t="s">
        <v>430</v>
      </c>
      <c r="BJ28" t="s">
        <v>430</v>
      </c>
      <c r="BK28" t="s">
        <v>430</v>
      </c>
      <c r="BL28" t="s">
        <v>430</v>
      </c>
      <c r="BM28" t="s">
        <v>431</v>
      </c>
      <c r="BN28" t="s">
        <v>431</v>
      </c>
      <c r="BO28" t="s">
        <v>431</v>
      </c>
      <c r="BP28" t="s">
        <v>431</v>
      </c>
      <c r="BQ28" t="s">
        <v>430</v>
      </c>
      <c r="BR28" t="s">
        <v>430</v>
      </c>
      <c r="BS28" t="s">
        <v>430</v>
      </c>
      <c r="BT28" t="s">
        <v>430</v>
      </c>
      <c r="BU28" t="s">
        <v>431</v>
      </c>
      <c r="BV28" t="s">
        <v>431</v>
      </c>
      <c r="BW28" t="s">
        <v>430</v>
      </c>
      <c r="BX28" t="s">
        <v>431</v>
      </c>
    </row>
    <row r="29" spans="2:76" x14ac:dyDescent="0.3">
      <c r="B29" t="s">
        <v>54</v>
      </c>
      <c r="C29">
        <v>515</v>
      </c>
      <c r="D29" t="s">
        <v>430</v>
      </c>
      <c r="E29" t="s">
        <v>430</v>
      </c>
      <c r="F29" t="s">
        <v>430</v>
      </c>
      <c r="G29" t="s">
        <v>431</v>
      </c>
      <c r="H29" t="s">
        <v>430</v>
      </c>
      <c r="I29" t="s">
        <v>431</v>
      </c>
      <c r="J29" t="s">
        <v>431</v>
      </c>
      <c r="K29" t="s">
        <v>431</v>
      </c>
      <c r="L29" t="s">
        <v>431</v>
      </c>
      <c r="M29" t="s">
        <v>430</v>
      </c>
      <c r="N29" t="s">
        <v>430</v>
      </c>
      <c r="O29" t="s">
        <v>430</v>
      </c>
      <c r="P29" t="s">
        <v>430</v>
      </c>
      <c r="Q29" t="s">
        <v>431</v>
      </c>
      <c r="R29" t="s">
        <v>432</v>
      </c>
      <c r="S29" t="s">
        <v>430</v>
      </c>
      <c r="T29" t="s">
        <v>431</v>
      </c>
      <c r="U29" t="s">
        <v>430</v>
      </c>
      <c r="V29" t="s">
        <v>430</v>
      </c>
      <c r="W29" t="s">
        <v>431</v>
      </c>
      <c r="X29" t="s">
        <v>430</v>
      </c>
      <c r="Y29" t="s">
        <v>430</v>
      </c>
      <c r="Z29" t="s">
        <v>430</v>
      </c>
      <c r="AA29" t="s">
        <v>430</v>
      </c>
      <c r="AB29" t="s">
        <v>430</v>
      </c>
      <c r="AC29" t="s">
        <v>430</v>
      </c>
      <c r="AD29" t="s">
        <v>430</v>
      </c>
      <c r="AE29" t="s">
        <v>431</v>
      </c>
      <c r="AF29" t="s">
        <v>430</v>
      </c>
      <c r="AG29" t="s">
        <v>430</v>
      </c>
      <c r="AH29" t="s">
        <v>431</v>
      </c>
      <c r="AI29" t="s">
        <v>431</v>
      </c>
      <c r="AJ29" t="s">
        <v>431</v>
      </c>
      <c r="AK29" t="s">
        <v>430</v>
      </c>
      <c r="AL29" t="s">
        <v>431</v>
      </c>
      <c r="AM29" t="s">
        <v>430</v>
      </c>
      <c r="AN29" t="s">
        <v>430</v>
      </c>
      <c r="AO29" t="s">
        <v>430</v>
      </c>
      <c r="AP29" t="s">
        <v>431</v>
      </c>
      <c r="AQ29" t="s">
        <v>431</v>
      </c>
      <c r="AR29" t="s">
        <v>431</v>
      </c>
      <c r="AS29" t="s">
        <v>431</v>
      </c>
      <c r="AT29" t="s">
        <v>431</v>
      </c>
      <c r="AU29" t="s">
        <v>430</v>
      </c>
      <c r="AV29" t="s">
        <v>430</v>
      </c>
      <c r="AW29" t="s">
        <v>430</v>
      </c>
      <c r="AX29" t="s">
        <v>430</v>
      </c>
      <c r="AY29" t="s">
        <v>431</v>
      </c>
      <c r="AZ29" t="s">
        <v>430</v>
      </c>
      <c r="BA29" t="s">
        <v>431</v>
      </c>
      <c r="BB29" t="s">
        <v>431</v>
      </c>
      <c r="BC29" t="s">
        <v>430</v>
      </c>
      <c r="BD29" t="s">
        <v>430</v>
      </c>
      <c r="BE29" t="s">
        <v>430</v>
      </c>
      <c r="BF29" t="s">
        <v>431</v>
      </c>
      <c r="BG29" t="s">
        <v>431</v>
      </c>
      <c r="BH29" t="s">
        <v>431</v>
      </c>
      <c r="BI29" t="s">
        <v>430</v>
      </c>
      <c r="BJ29" t="s">
        <v>430</v>
      </c>
      <c r="BK29" t="s">
        <v>430</v>
      </c>
      <c r="BL29" t="s">
        <v>430</v>
      </c>
      <c r="BM29" t="s">
        <v>431</v>
      </c>
      <c r="BN29" t="s">
        <v>431</v>
      </c>
      <c r="BO29" t="s">
        <v>431</v>
      </c>
      <c r="BP29" t="s">
        <v>431</v>
      </c>
      <c r="BQ29" t="s">
        <v>430</v>
      </c>
      <c r="BR29" t="s">
        <v>430</v>
      </c>
      <c r="BS29" t="s">
        <v>430</v>
      </c>
      <c r="BT29" t="s">
        <v>430</v>
      </c>
      <c r="BU29" t="s">
        <v>430</v>
      </c>
      <c r="BV29" t="s">
        <v>431</v>
      </c>
      <c r="BW29" t="s">
        <v>430</v>
      </c>
      <c r="BX29" t="s">
        <v>430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X8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5" width="20" customWidth="1"/>
  </cols>
  <sheetData>
    <row r="1" spans="1:76" ht="36" customHeight="1" x14ac:dyDescent="0.3">
      <c r="A1" s="2"/>
      <c r="B1" s="2" t="s">
        <v>436</v>
      </c>
      <c r="C1" s="2"/>
      <c r="D1" s="2"/>
      <c r="E1" s="2"/>
      <c r="F1" s="2"/>
      <c r="G1" s="2" t="s">
        <v>437</v>
      </c>
      <c r="H1" s="2"/>
      <c r="I1" s="2"/>
      <c r="J1" s="2"/>
      <c r="K1" s="2"/>
      <c r="L1" s="2" t="s">
        <v>418</v>
      </c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 spans="1:76" ht="36" customHeight="1" x14ac:dyDescent="0.3">
      <c r="A2" s="2"/>
      <c r="B2" s="2" t="s">
        <v>438</v>
      </c>
      <c r="C2" s="2" t="s">
        <v>439</v>
      </c>
      <c r="D2" s="2" t="s">
        <v>440</v>
      </c>
      <c r="E2" s="2" t="s">
        <v>441</v>
      </c>
      <c r="F2" s="2"/>
      <c r="G2" s="2" t="s">
        <v>438</v>
      </c>
      <c r="H2" s="2" t="s">
        <v>439</v>
      </c>
      <c r="I2" s="2" t="s">
        <v>440</v>
      </c>
      <c r="J2" s="2" t="s">
        <v>441</v>
      </c>
      <c r="K2" s="2"/>
      <c r="L2" s="2" t="s">
        <v>438</v>
      </c>
      <c r="M2" s="2" t="s">
        <v>439</v>
      </c>
      <c r="N2" s="2" t="s">
        <v>440</v>
      </c>
      <c r="O2" s="2" t="s">
        <v>441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spans="1:76" x14ac:dyDescent="0.3">
      <c r="A3" t="s">
        <v>442</v>
      </c>
      <c r="B3" t="s">
        <v>443</v>
      </c>
      <c r="C3" t="s">
        <v>444</v>
      </c>
      <c r="D3" t="s">
        <v>445</v>
      </c>
      <c r="E3" t="s">
        <v>446</v>
      </c>
      <c r="G3" t="s">
        <v>447</v>
      </c>
      <c r="H3" t="s">
        <v>448</v>
      </c>
      <c r="I3" t="s">
        <v>449</v>
      </c>
      <c r="J3" t="s">
        <v>450</v>
      </c>
      <c r="L3" t="s">
        <v>451</v>
      </c>
      <c r="M3" t="s">
        <v>452</v>
      </c>
      <c r="N3" t="s">
        <v>453</v>
      </c>
      <c r="O3" t="s">
        <v>454</v>
      </c>
    </row>
    <row r="4" spans="1:76" x14ac:dyDescent="0.3">
      <c r="B4" t="s">
        <v>455</v>
      </c>
      <c r="C4" t="s">
        <v>456</v>
      </c>
      <c r="D4" t="s">
        <v>457</v>
      </c>
      <c r="E4" t="s">
        <v>446</v>
      </c>
      <c r="G4" t="s">
        <v>458</v>
      </c>
      <c r="H4" t="s">
        <v>448</v>
      </c>
      <c r="I4" t="s">
        <v>449</v>
      </c>
      <c r="J4" t="s">
        <v>450</v>
      </c>
      <c r="L4" t="s">
        <v>459</v>
      </c>
      <c r="M4" t="s">
        <v>460</v>
      </c>
      <c r="N4" t="s">
        <v>461</v>
      </c>
      <c r="O4" t="s">
        <v>454</v>
      </c>
    </row>
    <row r="5" spans="1:76" x14ac:dyDescent="0.3">
      <c r="B5" t="s">
        <v>462</v>
      </c>
      <c r="C5" t="s">
        <v>463</v>
      </c>
      <c r="D5" t="s">
        <v>464</v>
      </c>
      <c r="E5" t="s">
        <v>446</v>
      </c>
      <c r="G5" t="s">
        <v>465</v>
      </c>
      <c r="H5" t="s">
        <v>466</v>
      </c>
      <c r="I5" t="s">
        <v>467</v>
      </c>
      <c r="J5" t="s">
        <v>450</v>
      </c>
      <c r="L5" t="s">
        <v>468</v>
      </c>
      <c r="M5" t="s">
        <v>469</v>
      </c>
      <c r="N5" t="s">
        <v>470</v>
      </c>
      <c r="O5" t="s">
        <v>454</v>
      </c>
    </row>
    <row r="6" spans="1:76" x14ac:dyDescent="0.3">
      <c r="B6" t="s">
        <v>471</v>
      </c>
      <c r="C6" t="s">
        <v>472</v>
      </c>
      <c r="D6" t="s">
        <v>473</v>
      </c>
      <c r="E6" t="s">
        <v>446</v>
      </c>
      <c r="L6" t="s">
        <v>474</v>
      </c>
      <c r="M6" t="s">
        <v>475</v>
      </c>
      <c r="N6" t="s">
        <v>476</v>
      </c>
      <c r="O6" t="s">
        <v>454</v>
      </c>
    </row>
    <row r="7" spans="1:76" x14ac:dyDescent="0.3">
      <c r="B7" t="s">
        <v>477</v>
      </c>
      <c r="C7" t="s">
        <v>478</v>
      </c>
      <c r="D7" t="s">
        <v>473</v>
      </c>
      <c r="E7" t="s">
        <v>446</v>
      </c>
      <c r="L7" t="s">
        <v>479</v>
      </c>
      <c r="M7" t="s">
        <v>480</v>
      </c>
      <c r="N7" t="s">
        <v>457</v>
      </c>
      <c r="O7" t="s">
        <v>454</v>
      </c>
    </row>
    <row r="8" spans="1:76" x14ac:dyDescent="0.3">
      <c r="B8" t="s">
        <v>481</v>
      </c>
      <c r="C8" t="s">
        <v>482</v>
      </c>
      <c r="D8" t="s">
        <v>483</v>
      </c>
      <c r="E8" t="s">
        <v>450</v>
      </c>
      <c r="L8" t="s">
        <v>484</v>
      </c>
      <c r="M8" t="s">
        <v>485</v>
      </c>
      <c r="N8" t="s">
        <v>486</v>
      </c>
      <c r="O8" t="s">
        <v>454</v>
      </c>
    </row>
    <row r="9" spans="1:76" x14ac:dyDescent="0.3">
      <c r="B9" t="s">
        <v>487</v>
      </c>
      <c r="C9" t="s">
        <v>488</v>
      </c>
      <c r="D9" t="s">
        <v>489</v>
      </c>
      <c r="E9" t="s">
        <v>446</v>
      </c>
      <c r="L9" t="s">
        <v>490</v>
      </c>
      <c r="M9" t="s">
        <v>491</v>
      </c>
      <c r="N9" t="s">
        <v>492</v>
      </c>
      <c r="O9" t="s">
        <v>454</v>
      </c>
    </row>
    <row r="10" spans="1:76" x14ac:dyDescent="0.3">
      <c r="B10" t="s">
        <v>493</v>
      </c>
      <c r="C10" t="s">
        <v>494</v>
      </c>
      <c r="D10" t="s">
        <v>495</v>
      </c>
      <c r="E10" t="s">
        <v>446</v>
      </c>
    </row>
    <row r="11" spans="1:76" x14ac:dyDescent="0.3">
      <c r="B11" t="s">
        <v>496</v>
      </c>
      <c r="C11" t="s">
        <v>497</v>
      </c>
      <c r="D11" t="s">
        <v>498</v>
      </c>
      <c r="E11" t="s">
        <v>446</v>
      </c>
    </row>
    <row r="12" spans="1:76" x14ac:dyDescent="0.3">
      <c r="B12" t="s">
        <v>499</v>
      </c>
      <c r="C12" t="s">
        <v>500</v>
      </c>
      <c r="D12" t="s">
        <v>501</v>
      </c>
      <c r="E12" t="s">
        <v>446</v>
      </c>
    </row>
    <row r="14" spans="1:76" x14ac:dyDescent="0.3">
      <c r="A14" t="s">
        <v>502</v>
      </c>
      <c r="B14" t="s">
        <v>443</v>
      </c>
      <c r="C14" t="s">
        <v>444</v>
      </c>
      <c r="D14" t="s">
        <v>445</v>
      </c>
      <c r="E14" t="s">
        <v>446</v>
      </c>
      <c r="G14" t="s">
        <v>447</v>
      </c>
      <c r="H14" t="s">
        <v>448</v>
      </c>
      <c r="I14" t="s">
        <v>449</v>
      </c>
      <c r="J14" t="s">
        <v>450</v>
      </c>
      <c r="L14" t="s">
        <v>451</v>
      </c>
      <c r="M14" t="s">
        <v>452</v>
      </c>
      <c r="N14" t="s">
        <v>453</v>
      </c>
      <c r="O14" t="s">
        <v>454</v>
      </c>
    </row>
    <row r="15" spans="1:76" x14ac:dyDescent="0.3">
      <c r="B15" t="s">
        <v>455</v>
      </c>
      <c r="C15" t="s">
        <v>456</v>
      </c>
      <c r="D15" t="s">
        <v>457</v>
      </c>
      <c r="E15" t="s">
        <v>446</v>
      </c>
      <c r="G15" t="s">
        <v>458</v>
      </c>
      <c r="H15" t="s">
        <v>448</v>
      </c>
      <c r="I15" t="s">
        <v>449</v>
      </c>
      <c r="J15" t="s">
        <v>450</v>
      </c>
      <c r="L15" t="s">
        <v>459</v>
      </c>
      <c r="M15" t="s">
        <v>460</v>
      </c>
      <c r="N15" t="s">
        <v>461</v>
      </c>
      <c r="O15" t="s">
        <v>454</v>
      </c>
    </row>
    <row r="16" spans="1:76" x14ac:dyDescent="0.3">
      <c r="B16" t="s">
        <v>503</v>
      </c>
      <c r="C16" t="s">
        <v>504</v>
      </c>
      <c r="D16" t="s">
        <v>505</v>
      </c>
      <c r="E16" t="s">
        <v>446</v>
      </c>
      <c r="L16" t="s">
        <v>468</v>
      </c>
      <c r="M16" t="s">
        <v>469</v>
      </c>
      <c r="N16" t="s">
        <v>470</v>
      </c>
      <c r="O16" t="s">
        <v>454</v>
      </c>
    </row>
    <row r="17" spans="1:15" x14ac:dyDescent="0.3">
      <c r="L17" t="s">
        <v>474</v>
      </c>
      <c r="M17" t="s">
        <v>475</v>
      </c>
      <c r="N17" t="s">
        <v>476</v>
      </c>
      <c r="O17" t="s">
        <v>454</v>
      </c>
    </row>
    <row r="18" spans="1:15" x14ac:dyDescent="0.3">
      <c r="L18" t="s">
        <v>479</v>
      </c>
      <c r="M18" t="s">
        <v>480</v>
      </c>
      <c r="N18" t="s">
        <v>457</v>
      </c>
      <c r="O18" t="s">
        <v>454</v>
      </c>
    </row>
    <row r="19" spans="1:15" x14ac:dyDescent="0.3">
      <c r="L19" t="s">
        <v>484</v>
      </c>
      <c r="M19" t="s">
        <v>485</v>
      </c>
      <c r="N19" t="s">
        <v>486</v>
      </c>
      <c r="O19" t="s">
        <v>454</v>
      </c>
    </row>
    <row r="20" spans="1:15" x14ac:dyDescent="0.3">
      <c r="L20" t="s">
        <v>490</v>
      </c>
      <c r="M20" t="s">
        <v>491</v>
      </c>
      <c r="N20" t="s">
        <v>492</v>
      </c>
      <c r="O20" t="s">
        <v>454</v>
      </c>
    </row>
    <row r="22" spans="1:15" x14ac:dyDescent="0.3">
      <c r="A22" t="s">
        <v>506</v>
      </c>
      <c r="B22" t="s">
        <v>443</v>
      </c>
      <c r="C22" t="s">
        <v>444</v>
      </c>
      <c r="D22" t="s">
        <v>445</v>
      </c>
      <c r="E22" t="s">
        <v>446</v>
      </c>
      <c r="G22" t="s">
        <v>447</v>
      </c>
      <c r="H22" t="s">
        <v>448</v>
      </c>
      <c r="I22" t="s">
        <v>449</v>
      </c>
      <c r="J22" t="s">
        <v>450</v>
      </c>
      <c r="L22" t="s">
        <v>451</v>
      </c>
      <c r="M22" t="s">
        <v>452</v>
      </c>
      <c r="N22" t="s">
        <v>453</v>
      </c>
      <c r="O22" t="s">
        <v>454</v>
      </c>
    </row>
    <row r="23" spans="1:15" x14ac:dyDescent="0.3">
      <c r="B23" t="s">
        <v>455</v>
      </c>
      <c r="C23" t="s">
        <v>456</v>
      </c>
      <c r="D23" t="s">
        <v>457</v>
      </c>
      <c r="E23" t="s">
        <v>446</v>
      </c>
      <c r="G23" t="s">
        <v>458</v>
      </c>
      <c r="H23" t="s">
        <v>448</v>
      </c>
      <c r="I23" t="s">
        <v>449</v>
      </c>
      <c r="J23" t="s">
        <v>450</v>
      </c>
      <c r="L23" t="s">
        <v>459</v>
      </c>
      <c r="M23" t="s">
        <v>460</v>
      </c>
      <c r="N23" t="s">
        <v>461</v>
      </c>
      <c r="O23" t="s">
        <v>454</v>
      </c>
    </row>
    <row r="24" spans="1:15" x14ac:dyDescent="0.3">
      <c r="B24" t="s">
        <v>507</v>
      </c>
      <c r="C24" t="s">
        <v>508</v>
      </c>
      <c r="D24" t="s">
        <v>509</v>
      </c>
      <c r="E24" t="s">
        <v>446</v>
      </c>
      <c r="L24" t="s">
        <v>468</v>
      </c>
      <c r="M24" t="s">
        <v>469</v>
      </c>
      <c r="N24" t="s">
        <v>470</v>
      </c>
      <c r="O24" t="s">
        <v>454</v>
      </c>
    </row>
    <row r="25" spans="1:15" x14ac:dyDescent="0.3">
      <c r="B25" t="s">
        <v>510</v>
      </c>
      <c r="C25" t="s">
        <v>511</v>
      </c>
      <c r="D25" t="s">
        <v>512</v>
      </c>
      <c r="E25" t="s">
        <v>446</v>
      </c>
      <c r="L25" t="s">
        <v>474</v>
      </c>
      <c r="M25" t="s">
        <v>475</v>
      </c>
      <c r="N25" t="s">
        <v>476</v>
      </c>
      <c r="O25" t="s">
        <v>454</v>
      </c>
    </row>
    <row r="26" spans="1:15" x14ac:dyDescent="0.3">
      <c r="B26" t="s">
        <v>481</v>
      </c>
      <c r="C26" t="s">
        <v>482</v>
      </c>
      <c r="D26" t="s">
        <v>483</v>
      </c>
      <c r="E26" t="s">
        <v>450</v>
      </c>
      <c r="L26" t="s">
        <v>479</v>
      </c>
      <c r="M26" t="s">
        <v>480</v>
      </c>
      <c r="N26" t="s">
        <v>457</v>
      </c>
      <c r="O26" t="s">
        <v>454</v>
      </c>
    </row>
    <row r="27" spans="1:15" x14ac:dyDescent="0.3">
      <c r="B27" t="s">
        <v>513</v>
      </c>
      <c r="C27" t="s">
        <v>514</v>
      </c>
      <c r="D27" t="s">
        <v>515</v>
      </c>
      <c r="E27" t="s">
        <v>450</v>
      </c>
      <c r="L27" t="s">
        <v>484</v>
      </c>
      <c r="M27" t="s">
        <v>485</v>
      </c>
      <c r="N27" t="s">
        <v>486</v>
      </c>
      <c r="O27" t="s">
        <v>454</v>
      </c>
    </row>
    <row r="28" spans="1:15" x14ac:dyDescent="0.3">
      <c r="B28" t="s">
        <v>516</v>
      </c>
      <c r="C28" t="s">
        <v>517</v>
      </c>
      <c r="D28" t="s">
        <v>518</v>
      </c>
      <c r="E28" t="s">
        <v>446</v>
      </c>
      <c r="L28" t="s">
        <v>490</v>
      </c>
      <c r="M28" t="s">
        <v>491</v>
      </c>
      <c r="N28" t="s">
        <v>492</v>
      </c>
      <c r="O28" t="s">
        <v>454</v>
      </c>
    </row>
    <row r="29" spans="1:15" x14ac:dyDescent="0.3">
      <c r="B29" t="s">
        <v>519</v>
      </c>
      <c r="C29" t="s">
        <v>520</v>
      </c>
      <c r="D29" t="s">
        <v>457</v>
      </c>
      <c r="E29" t="s">
        <v>446</v>
      </c>
    </row>
    <row r="30" spans="1:15" x14ac:dyDescent="0.3">
      <c r="B30" t="s">
        <v>496</v>
      </c>
      <c r="C30" t="s">
        <v>497</v>
      </c>
      <c r="D30" t="s">
        <v>498</v>
      </c>
      <c r="E30" t="s">
        <v>446</v>
      </c>
    </row>
    <row r="31" spans="1:15" x14ac:dyDescent="0.3">
      <c r="B31" t="s">
        <v>521</v>
      </c>
      <c r="C31" t="s">
        <v>522</v>
      </c>
      <c r="D31" t="s">
        <v>523</v>
      </c>
      <c r="E31" t="s">
        <v>446</v>
      </c>
    </row>
    <row r="33" spans="1:15" x14ac:dyDescent="0.3">
      <c r="A33" t="s">
        <v>31</v>
      </c>
      <c r="B33" t="s">
        <v>443</v>
      </c>
      <c r="C33" t="s">
        <v>444</v>
      </c>
      <c r="D33" t="s">
        <v>445</v>
      </c>
      <c r="E33" t="s">
        <v>446</v>
      </c>
      <c r="G33" t="s">
        <v>447</v>
      </c>
      <c r="H33" t="s">
        <v>448</v>
      </c>
      <c r="I33" t="s">
        <v>449</v>
      </c>
      <c r="J33" t="s">
        <v>450</v>
      </c>
      <c r="L33" t="s">
        <v>451</v>
      </c>
      <c r="M33" t="s">
        <v>452</v>
      </c>
      <c r="N33" t="s">
        <v>453</v>
      </c>
      <c r="O33" t="s">
        <v>454</v>
      </c>
    </row>
    <row r="34" spans="1:15" x14ac:dyDescent="0.3">
      <c r="B34" t="s">
        <v>455</v>
      </c>
      <c r="C34" t="s">
        <v>456</v>
      </c>
      <c r="D34" t="s">
        <v>457</v>
      </c>
      <c r="E34" t="s">
        <v>446</v>
      </c>
      <c r="G34" t="s">
        <v>458</v>
      </c>
      <c r="H34" t="s">
        <v>448</v>
      </c>
      <c r="I34" t="s">
        <v>449</v>
      </c>
      <c r="J34" t="s">
        <v>450</v>
      </c>
      <c r="L34" t="s">
        <v>459</v>
      </c>
      <c r="M34" t="s">
        <v>460</v>
      </c>
      <c r="N34" t="s">
        <v>461</v>
      </c>
      <c r="O34" t="s">
        <v>454</v>
      </c>
    </row>
    <row r="35" spans="1:15" x14ac:dyDescent="0.3">
      <c r="B35" t="s">
        <v>507</v>
      </c>
      <c r="C35" t="s">
        <v>508</v>
      </c>
      <c r="D35" t="s">
        <v>509</v>
      </c>
      <c r="E35" t="s">
        <v>446</v>
      </c>
      <c r="L35" t="s">
        <v>468</v>
      </c>
      <c r="M35" t="s">
        <v>469</v>
      </c>
      <c r="N35" t="s">
        <v>470</v>
      </c>
      <c r="O35" t="s">
        <v>454</v>
      </c>
    </row>
    <row r="36" spans="1:15" x14ac:dyDescent="0.3">
      <c r="B36" t="s">
        <v>510</v>
      </c>
      <c r="C36" t="s">
        <v>511</v>
      </c>
      <c r="D36" t="s">
        <v>512</v>
      </c>
      <c r="E36" t="s">
        <v>446</v>
      </c>
      <c r="L36" t="s">
        <v>474</v>
      </c>
      <c r="M36" t="s">
        <v>475</v>
      </c>
      <c r="N36" t="s">
        <v>476</v>
      </c>
      <c r="O36" t="s">
        <v>454</v>
      </c>
    </row>
    <row r="37" spans="1:15" x14ac:dyDescent="0.3">
      <c r="B37" t="s">
        <v>481</v>
      </c>
      <c r="C37" t="s">
        <v>482</v>
      </c>
      <c r="D37" t="s">
        <v>483</v>
      </c>
      <c r="E37" t="s">
        <v>450</v>
      </c>
      <c r="L37" t="s">
        <v>479</v>
      </c>
      <c r="M37" t="s">
        <v>480</v>
      </c>
      <c r="N37" t="s">
        <v>457</v>
      </c>
      <c r="O37" t="s">
        <v>454</v>
      </c>
    </row>
    <row r="38" spans="1:15" x14ac:dyDescent="0.3">
      <c r="B38" t="s">
        <v>513</v>
      </c>
      <c r="C38" t="s">
        <v>514</v>
      </c>
      <c r="D38" t="s">
        <v>515</v>
      </c>
      <c r="E38" t="s">
        <v>450</v>
      </c>
      <c r="L38" t="s">
        <v>484</v>
      </c>
      <c r="M38" t="s">
        <v>485</v>
      </c>
      <c r="N38" t="s">
        <v>486</v>
      </c>
      <c r="O38" t="s">
        <v>454</v>
      </c>
    </row>
    <row r="39" spans="1:15" x14ac:dyDescent="0.3">
      <c r="B39" t="s">
        <v>516</v>
      </c>
      <c r="C39" t="s">
        <v>517</v>
      </c>
      <c r="D39" t="s">
        <v>518</v>
      </c>
      <c r="E39" t="s">
        <v>446</v>
      </c>
      <c r="L39" t="s">
        <v>490</v>
      </c>
      <c r="M39" t="s">
        <v>491</v>
      </c>
      <c r="N39" t="s">
        <v>492</v>
      </c>
      <c r="O39" t="s">
        <v>454</v>
      </c>
    </row>
    <row r="40" spans="1:15" x14ac:dyDescent="0.3">
      <c r="B40" t="s">
        <v>519</v>
      </c>
      <c r="C40" t="s">
        <v>520</v>
      </c>
      <c r="D40" t="s">
        <v>457</v>
      </c>
      <c r="E40" t="s">
        <v>446</v>
      </c>
    </row>
    <row r="41" spans="1:15" x14ac:dyDescent="0.3">
      <c r="B41" t="s">
        <v>496</v>
      </c>
      <c r="C41" t="s">
        <v>497</v>
      </c>
      <c r="D41" t="s">
        <v>498</v>
      </c>
      <c r="E41" t="s">
        <v>446</v>
      </c>
    </row>
    <row r="44" spans="1:15" x14ac:dyDescent="0.3">
      <c r="A44" t="s">
        <v>524</v>
      </c>
      <c r="B44" t="s">
        <v>443</v>
      </c>
      <c r="C44" t="s">
        <v>444</v>
      </c>
      <c r="D44" t="s">
        <v>445</v>
      </c>
      <c r="E44" t="s">
        <v>446</v>
      </c>
      <c r="G44" t="s">
        <v>447</v>
      </c>
      <c r="H44" t="s">
        <v>448</v>
      </c>
      <c r="I44" t="s">
        <v>449</v>
      </c>
      <c r="J44" t="s">
        <v>450</v>
      </c>
      <c r="L44" t="s">
        <v>451</v>
      </c>
      <c r="M44" t="s">
        <v>452</v>
      </c>
      <c r="N44" t="s">
        <v>453</v>
      </c>
      <c r="O44" t="s">
        <v>454</v>
      </c>
    </row>
    <row r="45" spans="1:15" x14ac:dyDescent="0.3">
      <c r="B45" t="s">
        <v>455</v>
      </c>
      <c r="C45" t="s">
        <v>456</v>
      </c>
      <c r="D45" t="s">
        <v>457</v>
      </c>
      <c r="E45" t="s">
        <v>446</v>
      </c>
      <c r="G45" t="s">
        <v>458</v>
      </c>
      <c r="H45" t="s">
        <v>448</v>
      </c>
      <c r="I45" t="s">
        <v>449</v>
      </c>
      <c r="J45" t="s">
        <v>450</v>
      </c>
      <c r="L45" t="s">
        <v>459</v>
      </c>
      <c r="M45" t="s">
        <v>460</v>
      </c>
      <c r="N45" t="s">
        <v>461</v>
      </c>
      <c r="O45" t="s">
        <v>454</v>
      </c>
    </row>
    <row r="46" spans="1:15" x14ac:dyDescent="0.3">
      <c r="B46" t="s">
        <v>503</v>
      </c>
      <c r="C46" t="s">
        <v>504</v>
      </c>
      <c r="D46" t="s">
        <v>505</v>
      </c>
      <c r="E46" t="s">
        <v>446</v>
      </c>
      <c r="G46" t="s">
        <v>465</v>
      </c>
      <c r="H46" t="s">
        <v>466</v>
      </c>
      <c r="I46" t="s">
        <v>467</v>
      </c>
      <c r="J46" t="s">
        <v>450</v>
      </c>
      <c r="L46" t="s">
        <v>468</v>
      </c>
      <c r="M46" t="s">
        <v>469</v>
      </c>
      <c r="N46" t="s">
        <v>470</v>
      </c>
      <c r="O46" t="s">
        <v>454</v>
      </c>
    </row>
    <row r="47" spans="1:15" x14ac:dyDescent="0.3">
      <c r="L47" t="s">
        <v>474</v>
      </c>
      <c r="M47" t="s">
        <v>475</v>
      </c>
      <c r="N47" t="s">
        <v>476</v>
      </c>
      <c r="O47" t="s">
        <v>454</v>
      </c>
    </row>
    <row r="48" spans="1:15" x14ac:dyDescent="0.3">
      <c r="L48" t="s">
        <v>479</v>
      </c>
      <c r="M48" t="s">
        <v>480</v>
      </c>
      <c r="N48" t="s">
        <v>457</v>
      </c>
      <c r="O48" t="s">
        <v>454</v>
      </c>
    </row>
    <row r="49" spans="1:15" x14ac:dyDescent="0.3">
      <c r="L49" t="s">
        <v>484</v>
      </c>
      <c r="M49" t="s">
        <v>485</v>
      </c>
      <c r="N49" t="s">
        <v>486</v>
      </c>
      <c r="O49" t="s">
        <v>454</v>
      </c>
    </row>
    <row r="50" spans="1:15" x14ac:dyDescent="0.3">
      <c r="L50" t="s">
        <v>490</v>
      </c>
      <c r="M50" t="s">
        <v>491</v>
      </c>
      <c r="N50" t="s">
        <v>492</v>
      </c>
      <c r="O50" t="s">
        <v>454</v>
      </c>
    </row>
    <row r="52" spans="1:15" x14ac:dyDescent="0.3">
      <c r="A52" t="s">
        <v>525</v>
      </c>
      <c r="G52" t="s">
        <v>447</v>
      </c>
      <c r="H52" t="s">
        <v>448</v>
      </c>
      <c r="I52" t="s">
        <v>449</v>
      </c>
      <c r="J52" t="s">
        <v>450</v>
      </c>
      <c r="L52" t="s">
        <v>451</v>
      </c>
      <c r="M52" t="s">
        <v>452</v>
      </c>
      <c r="N52" t="s">
        <v>453</v>
      </c>
      <c r="O52" t="s">
        <v>454</v>
      </c>
    </row>
    <row r="53" spans="1:15" x14ac:dyDescent="0.3">
      <c r="G53" t="s">
        <v>458</v>
      </c>
      <c r="H53" t="s">
        <v>448</v>
      </c>
      <c r="I53" t="s">
        <v>449</v>
      </c>
      <c r="J53" t="s">
        <v>450</v>
      </c>
      <c r="L53" t="s">
        <v>459</v>
      </c>
      <c r="M53" t="s">
        <v>460</v>
      </c>
      <c r="N53" t="s">
        <v>461</v>
      </c>
      <c r="O53" t="s">
        <v>454</v>
      </c>
    </row>
    <row r="54" spans="1:15" x14ac:dyDescent="0.3">
      <c r="G54" t="s">
        <v>465</v>
      </c>
      <c r="H54" t="s">
        <v>466</v>
      </c>
      <c r="I54" t="s">
        <v>467</v>
      </c>
      <c r="J54" t="s">
        <v>450</v>
      </c>
      <c r="L54" t="s">
        <v>468</v>
      </c>
      <c r="M54" t="s">
        <v>469</v>
      </c>
      <c r="N54" t="s">
        <v>470</v>
      </c>
      <c r="O54" t="s">
        <v>454</v>
      </c>
    </row>
    <row r="55" spans="1:15" x14ac:dyDescent="0.3">
      <c r="L55" t="s">
        <v>474</v>
      </c>
      <c r="M55" t="s">
        <v>475</v>
      </c>
      <c r="N55" t="s">
        <v>476</v>
      </c>
      <c r="O55" t="s">
        <v>454</v>
      </c>
    </row>
    <row r="56" spans="1:15" x14ac:dyDescent="0.3">
      <c r="L56" t="s">
        <v>479</v>
      </c>
      <c r="M56" t="s">
        <v>480</v>
      </c>
      <c r="N56" t="s">
        <v>457</v>
      </c>
      <c r="O56" t="s">
        <v>454</v>
      </c>
    </row>
    <row r="57" spans="1:15" x14ac:dyDescent="0.3">
      <c r="L57" t="s">
        <v>484</v>
      </c>
      <c r="M57" t="s">
        <v>485</v>
      </c>
      <c r="N57" t="s">
        <v>486</v>
      </c>
      <c r="O57" t="s">
        <v>454</v>
      </c>
    </row>
    <row r="58" spans="1:15" x14ac:dyDescent="0.3">
      <c r="L58" t="s">
        <v>490</v>
      </c>
      <c r="M58" t="s">
        <v>491</v>
      </c>
      <c r="N58" t="s">
        <v>492</v>
      </c>
      <c r="O58" t="s">
        <v>454</v>
      </c>
    </row>
    <row r="60" spans="1:15" x14ac:dyDescent="0.3">
      <c r="A60" t="s">
        <v>526</v>
      </c>
      <c r="B60" t="s">
        <v>443</v>
      </c>
      <c r="C60" t="s">
        <v>444</v>
      </c>
      <c r="D60" t="s">
        <v>445</v>
      </c>
      <c r="E60" t="s">
        <v>446</v>
      </c>
      <c r="G60" t="s">
        <v>447</v>
      </c>
      <c r="H60" t="s">
        <v>448</v>
      </c>
      <c r="I60" t="s">
        <v>449</v>
      </c>
      <c r="J60" t="s">
        <v>450</v>
      </c>
      <c r="L60" t="s">
        <v>451</v>
      </c>
      <c r="M60" t="s">
        <v>452</v>
      </c>
      <c r="N60" t="s">
        <v>453</v>
      </c>
      <c r="O60" t="s">
        <v>454</v>
      </c>
    </row>
    <row r="61" spans="1:15" x14ac:dyDescent="0.3">
      <c r="B61" t="s">
        <v>455</v>
      </c>
      <c r="C61" t="s">
        <v>456</v>
      </c>
      <c r="D61" t="s">
        <v>457</v>
      </c>
      <c r="E61" t="s">
        <v>446</v>
      </c>
      <c r="G61" t="s">
        <v>458</v>
      </c>
      <c r="H61" t="s">
        <v>448</v>
      </c>
      <c r="I61" t="s">
        <v>449</v>
      </c>
      <c r="J61" t="s">
        <v>450</v>
      </c>
      <c r="L61" t="s">
        <v>459</v>
      </c>
      <c r="M61" t="s">
        <v>460</v>
      </c>
      <c r="N61" t="s">
        <v>461</v>
      </c>
      <c r="O61" t="s">
        <v>454</v>
      </c>
    </row>
    <row r="62" spans="1:15" x14ac:dyDescent="0.3">
      <c r="B62" t="s">
        <v>462</v>
      </c>
      <c r="C62" t="s">
        <v>463</v>
      </c>
      <c r="D62" t="s">
        <v>464</v>
      </c>
      <c r="E62" t="s">
        <v>446</v>
      </c>
      <c r="L62" t="s">
        <v>468</v>
      </c>
      <c r="M62" t="s">
        <v>469</v>
      </c>
      <c r="N62" t="s">
        <v>470</v>
      </c>
      <c r="O62" t="s">
        <v>454</v>
      </c>
    </row>
    <row r="63" spans="1:15" x14ac:dyDescent="0.3">
      <c r="B63" t="s">
        <v>471</v>
      </c>
      <c r="C63" t="s">
        <v>472</v>
      </c>
      <c r="D63" t="s">
        <v>473</v>
      </c>
      <c r="E63" t="s">
        <v>446</v>
      </c>
      <c r="L63" t="s">
        <v>474</v>
      </c>
      <c r="M63" t="s">
        <v>475</v>
      </c>
      <c r="N63" t="s">
        <v>476</v>
      </c>
      <c r="O63" t="s">
        <v>454</v>
      </c>
    </row>
    <row r="64" spans="1:15" x14ac:dyDescent="0.3">
      <c r="B64" t="s">
        <v>477</v>
      </c>
      <c r="C64" t="s">
        <v>478</v>
      </c>
      <c r="D64" t="s">
        <v>473</v>
      </c>
      <c r="E64" t="s">
        <v>446</v>
      </c>
      <c r="L64" t="s">
        <v>479</v>
      </c>
      <c r="M64" t="s">
        <v>480</v>
      </c>
      <c r="N64" t="s">
        <v>457</v>
      </c>
      <c r="O64" t="s">
        <v>454</v>
      </c>
    </row>
    <row r="65" spans="1:15" x14ac:dyDescent="0.3">
      <c r="B65" t="s">
        <v>481</v>
      </c>
      <c r="C65" t="s">
        <v>482</v>
      </c>
      <c r="D65" t="s">
        <v>483</v>
      </c>
      <c r="E65" t="s">
        <v>450</v>
      </c>
      <c r="L65" t="s">
        <v>484</v>
      </c>
      <c r="M65" t="s">
        <v>485</v>
      </c>
      <c r="N65" t="s">
        <v>486</v>
      </c>
      <c r="O65" t="s">
        <v>454</v>
      </c>
    </row>
    <row r="66" spans="1:15" x14ac:dyDescent="0.3">
      <c r="B66" t="s">
        <v>487</v>
      </c>
      <c r="C66" t="s">
        <v>488</v>
      </c>
      <c r="D66" t="s">
        <v>489</v>
      </c>
      <c r="E66" t="s">
        <v>446</v>
      </c>
      <c r="L66" t="s">
        <v>490</v>
      </c>
      <c r="M66" t="s">
        <v>491</v>
      </c>
      <c r="N66" t="s">
        <v>492</v>
      </c>
      <c r="O66" t="s">
        <v>454</v>
      </c>
    </row>
    <row r="67" spans="1:15" x14ac:dyDescent="0.3">
      <c r="B67" t="s">
        <v>493</v>
      </c>
      <c r="C67" t="s">
        <v>494</v>
      </c>
      <c r="D67" t="s">
        <v>495</v>
      </c>
      <c r="E67" t="s">
        <v>446</v>
      </c>
    </row>
    <row r="68" spans="1:15" x14ac:dyDescent="0.3">
      <c r="B68" t="s">
        <v>496</v>
      </c>
      <c r="C68" t="s">
        <v>497</v>
      </c>
      <c r="D68" t="s">
        <v>498</v>
      </c>
      <c r="E68" t="s">
        <v>446</v>
      </c>
    </row>
    <row r="69" spans="1:15" x14ac:dyDescent="0.3">
      <c r="B69" t="s">
        <v>499</v>
      </c>
      <c r="C69" t="s">
        <v>500</v>
      </c>
      <c r="D69" t="s">
        <v>501</v>
      </c>
      <c r="E69" t="s">
        <v>446</v>
      </c>
    </row>
    <row r="71" spans="1:15" x14ac:dyDescent="0.3">
      <c r="A71" t="s">
        <v>54</v>
      </c>
      <c r="B71" t="s">
        <v>443</v>
      </c>
      <c r="C71" t="s">
        <v>444</v>
      </c>
      <c r="D71" t="s">
        <v>445</v>
      </c>
      <c r="E71" t="s">
        <v>446</v>
      </c>
      <c r="G71" t="s">
        <v>447</v>
      </c>
      <c r="H71" t="s">
        <v>448</v>
      </c>
      <c r="I71" t="s">
        <v>449</v>
      </c>
      <c r="J71" t="s">
        <v>450</v>
      </c>
      <c r="L71" t="s">
        <v>451</v>
      </c>
      <c r="M71" t="s">
        <v>452</v>
      </c>
      <c r="N71" t="s">
        <v>453</v>
      </c>
      <c r="O71" t="s">
        <v>454</v>
      </c>
    </row>
    <row r="72" spans="1:15" x14ac:dyDescent="0.3">
      <c r="B72" t="s">
        <v>455</v>
      </c>
      <c r="C72" t="s">
        <v>456</v>
      </c>
      <c r="D72" t="s">
        <v>457</v>
      </c>
      <c r="E72" t="s">
        <v>446</v>
      </c>
      <c r="G72" t="s">
        <v>458</v>
      </c>
      <c r="H72" t="s">
        <v>448</v>
      </c>
      <c r="I72" t="s">
        <v>449</v>
      </c>
      <c r="J72" t="s">
        <v>450</v>
      </c>
      <c r="L72" t="s">
        <v>459</v>
      </c>
      <c r="M72" t="s">
        <v>460</v>
      </c>
      <c r="N72" t="s">
        <v>461</v>
      </c>
      <c r="O72" t="s">
        <v>454</v>
      </c>
    </row>
    <row r="73" spans="1:15" x14ac:dyDescent="0.3">
      <c r="B73" t="s">
        <v>527</v>
      </c>
      <c r="C73" t="s">
        <v>528</v>
      </c>
      <c r="D73" t="s">
        <v>529</v>
      </c>
      <c r="E73" t="s">
        <v>446</v>
      </c>
      <c r="L73" t="s">
        <v>468</v>
      </c>
      <c r="M73" t="s">
        <v>469</v>
      </c>
      <c r="N73" t="s">
        <v>470</v>
      </c>
      <c r="O73" t="s">
        <v>454</v>
      </c>
    </row>
    <row r="74" spans="1:15" x14ac:dyDescent="0.3">
      <c r="B74" t="s">
        <v>530</v>
      </c>
      <c r="C74" t="s">
        <v>531</v>
      </c>
      <c r="D74" t="s">
        <v>532</v>
      </c>
      <c r="E74" t="s">
        <v>446</v>
      </c>
      <c r="L74" t="s">
        <v>474</v>
      </c>
      <c r="M74" t="s">
        <v>475</v>
      </c>
      <c r="N74" t="s">
        <v>476</v>
      </c>
      <c r="O74" t="s">
        <v>454</v>
      </c>
    </row>
    <row r="75" spans="1:15" x14ac:dyDescent="0.3">
      <c r="B75" t="s">
        <v>533</v>
      </c>
      <c r="C75" t="s">
        <v>534</v>
      </c>
      <c r="D75" t="s">
        <v>535</v>
      </c>
      <c r="E75" t="s">
        <v>446</v>
      </c>
      <c r="L75" t="s">
        <v>479</v>
      </c>
      <c r="M75" t="s">
        <v>480</v>
      </c>
      <c r="N75" t="s">
        <v>457</v>
      </c>
      <c r="O75" t="s">
        <v>454</v>
      </c>
    </row>
    <row r="76" spans="1:15" x14ac:dyDescent="0.3">
      <c r="B76" t="s">
        <v>536</v>
      </c>
      <c r="C76" t="s">
        <v>537</v>
      </c>
      <c r="D76" t="s">
        <v>483</v>
      </c>
      <c r="E76" t="s">
        <v>446</v>
      </c>
      <c r="L76" t="s">
        <v>484</v>
      </c>
      <c r="M76" t="s">
        <v>485</v>
      </c>
      <c r="N76" t="s">
        <v>486</v>
      </c>
      <c r="O76" t="s">
        <v>454</v>
      </c>
    </row>
    <row r="77" spans="1:15" x14ac:dyDescent="0.3">
      <c r="B77" t="s">
        <v>538</v>
      </c>
      <c r="C77" t="s">
        <v>539</v>
      </c>
      <c r="D77" t="s">
        <v>540</v>
      </c>
      <c r="E77" t="s">
        <v>446</v>
      </c>
      <c r="L77" t="s">
        <v>490</v>
      </c>
      <c r="M77" t="s">
        <v>491</v>
      </c>
      <c r="N77" t="s">
        <v>492</v>
      </c>
      <c r="O77" t="s">
        <v>454</v>
      </c>
    </row>
    <row r="78" spans="1:15" x14ac:dyDescent="0.3">
      <c r="B78" t="s">
        <v>510</v>
      </c>
      <c r="C78" t="s">
        <v>511</v>
      </c>
      <c r="D78" t="s">
        <v>512</v>
      </c>
      <c r="E78" t="s">
        <v>446</v>
      </c>
    </row>
    <row r="79" spans="1:15" x14ac:dyDescent="0.3">
      <c r="B79" t="s">
        <v>481</v>
      </c>
      <c r="C79" t="s">
        <v>541</v>
      </c>
      <c r="D79" t="s">
        <v>483</v>
      </c>
      <c r="E79" t="s">
        <v>450</v>
      </c>
    </row>
    <row r="80" spans="1:15" x14ac:dyDescent="0.3">
      <c r="B80" t="s">
        <v>513</v>
      </c>
      <c r="C80" t="s">
        <v>514</v>
      </c>
      <c r="D80" t="s">
        <v>515</v>
      </c>
      <c r="E80" t="s">
        <v>450</v>
      </c>
    </row>
    <row r="81" spans="2:5" x14ac:dyDescent="0.3">
      <c r="B81" t="s">
        <v>542</v>
      </c>
      <c r="C81" t="s">
        <v>543</v>
      </c>
      <c r="D81" t="s">
        <v>544</v>
      </c>
      <c r="E81" t="s">
        <v>446</v>
      </c>
    </row>
    <row r="82" spans="2:5" x14ac:dyDescent="0.3">
      <c r="B82" t="s">
        <v>545</v>
      </c>
      <c r="C82" t="s">
        <v>546</v>
      </c>
      <c r="D82" t="s">
        <v>457</v>
      </c>
      <c r="E82" t="s">
        <v>446</v>
      </c>
    </row>
    <row r="83" spans="2:5" x14ac:dyDescent="0.3">
      <c r="B83" t="s">
        <v>496</v>
      </c>
      <c r="C83" t="s">
        <v>497</v>
      </c>
      <c r="D83" t="s">
        <v>498</v>
      </c>
      <c r="E83" t="s">
        <v>446</v>
      </c>
    </row>
    <row r="84" spans="2:5" x14ac:dyDescent="0.3">
      <c r="B84" t="s">
        <v>547</v>
      </c>
      <c r="C84" t="s">
        <v>548</v>
      </c>
      <c r="D84" t="s">
        <v>549</v>
      </c>
      <c r="E84" t="s">
        <v>446</v>
      </c>
    </row>
    <row r="85" spans="2:5" x14ac:dyDescent="0.3">
      <c r="B85" t="s">
        <v>521</v>
      </c>
      <c r="C85" t="s">
        <v>522</v>
      </c>
      <c r="D85" t="s">
        <v>523</v>
      </c>
      <c r="E85" t="s">
        <v>446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X5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5" width="20" customWidth="1"/>
  </cols>
  <sheetData>
    <row r="1" spans="1:76" ht="36" customHeight="1" x14ac:dyDescent="0.3">
      <c r="A1" s="2"/>
      <c r="B1" s="2"/>
      <c r="C1" s="2" t="s">
        <v>450</v>
      </c>
      <c r="D1" s="2"/>
      <c r="E1" s="2"/>
      <c r="F1" s="2"/>
      <c r="G1" s="2" t="s">
        <v>550</v>
      </c>
      <c r="H1" s="2"/>
      <c r="I1" s="2"/>
      <c r="J1" s="2"/>
      <c r="K1" s="2"/>
      <c r="L1" s="2"/>
      <c r="M1" s="2"/>
      <c r="N1" s="2" t="s">
        <v>454</v>
      </c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 spans="1:76" ht="36" customHeight="1" x14ac:dyDescent="0.3">
      <c r="A2" s="2" t="s">
        <v>551</v>
      </c>
      <c r="B2" s="2"/>
      <c r="C2" s="2" t="s">
        <v>552</v>
      </c>
      <c r="D2" s="2" t="s">
        <v>136</v>
      </c>
      <c r="E2" s="2" t="s">
        <v>553</v>
      </c>
      <c r="F2" s="2"/>
      <c r="G2" s="2" t="s">
        <v>138</v>
      </c>
      <c r="H2" s="2" t="s">
        <v>139</v>
      </c>
      <c r="I2" s="2" t="s">
        <v>140</v>
      </c>
      <c r="J2" s="2" t="s">
        <v>141</v>
      </c>
      <c r="K2" s="2" t="s">
        <v>142</v>
      </c>
      <c r="L2" s="2" t="s">
        <v>143</v>
      </c>
      <c r="M2" s="2"/>
      <c r="N2" s="2" t="s">
        <v>148</v>
      </c>
      <c r="O2" s="2" t="s">
        <v>149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spans="1:76" x14ac:dyDescent="0.3">
      <c r="A3">
        <v>1</v>
      </c>
      <c r="B3" t="s">
        <v>28</v>
      </c>
      <c r="C3" t="s">
        <v>259</v>
      </c>
      <c r="D3" t="s">
        <v>260</v>
      </c>
      <c r="E3" t="s">
        <v>259</v>
      </c>
      <c r="G3" t="s">
        <v>261</v>
      </c>
      <c r="H3">
        <v>2</v>
      </c>
      <c r="I3" t="s">
        <v>263</v>
      </c>
      <c r="J3">
        <v>512</v>
      </c>
      <c r="K3" t="s">
        <v>264</v>
      </c>
      <c r="L3">
        <v>16</v>
      </c>
      <c r="N3">
        <v>1</v>
      </c>
      <c r="O3">
        <v>2</v>
      </c>
    </row>
    <row r="4" spans="1:76" x14ac:dyDescent="0.3">
      <c r="B4" t="s">
        <v>32</v>
      </c>
      <c r="C4" t="s">
        <v>282</v>
      </c>
      <c r="D4" t="s">
        <v>300</v>
      </c>
      <c r="E4" t="s">
        <v>282</v>
      </c>
      <c r="G4" t="s">
        <v>273</v>
      </c>
      <c r="H4" t="s">
        <v>281</v>
      </c>
      <c r="I4">
        <v>16384</v>
      </c>
      <c r="J4" t="s">
        <v>319</v>
      </c>
      <c r="K4" t="s">
        <v>264</v>
      </c>
      <c r="L4" t="s">
        <v>281</v>
      </c>
      <c r="N4" t="s">
        <v>287</v>
      </c>
      <c r="O4" t="s">
        <v>282</v>
      </c>
    </row>
    <row r="5" spans="1:76" x14ac:dyDescent="0.3">
      <c r="B5" t="s">
        <v>48</v>
      </c>
      <c r="C5">
        <v>1</v>
      </c>
      <c r="D5" t="s">
        <v>260</v>
      </c>
      <c r="E5" t="s">
        <v>260</v>
      </c>
      <c r="G5" t="s">
        <v>304</v>
      </c>
      <c r="H5" t="s">
        <v>281</v>
      </c>
      <c r="I5">
        <v>8192</v>
      </c>
      <c r="J5">
        <v>1024</v>
      </c>
      <c r="K5" t="s">
        <v>264</v>
      </c>
      <c r="L5" t="s">
        <v>281</v>
      </c>
      <c r="N5">
        <v>1</v>
      </c>
      <c r="O5">
        <v>2</v>
      </c>
    </row>
    <row r="6" spans="1:76" x14ac:dyDescent="0.3">
      <c r="A6" t="s">
        <v>554</v>
      </c>
      <c r="C6">
        <v>1</v>
      </c>
      <c r="D6">
        <v>0.5</v>
      </c>
      <c r="E6">
        <v>0.5</v>
      </c>
      <c r="G6" t="s">
        <v>304</v>
      </c>
      <c r="H6" t="s">
        <v>281</v>
      </c>
      <c r="I6">
        <v>16384</v>
      </c>
      <c r="J6">
        <v>1024</v>
      </c>
      <c r="K6" t="s">
        <v>264</v>
      </c>
      <c r="L6" t="s">
        <v>281</v>
      </c>
      <c r="N6">
        <v>1</v>
      </c>
      <c r="O6">
        <v>2</v>
      </c>
    </row>
    <row r="7" spans="1:76" x14ac:dyDescent="0.3">
      <c r="A7" t="s">
        <v>555</v>
      </c>
      <c r="C7">
        <v>16</v>
      </c>
      <c r="D7">
        <v>8</v>
      </c>
      <c r="E7">
        <v>16</v>
      </c>
      <c r="G7" t="s">
        <v>273</v>
      </c>
      <c r="H7" t="s">
        <v>281</v>
      </c>
      <c r="I7" t="s">
        <v>263</v>
      </c>
      <c r="J7" t="s">
        <v>319</v>
      </c>
      <c r="K7" t="s">
        <v>264</v>
      </c>
      <c r="L7" t="s">
        <v>281</v>
      </c>
      <c r="N7" t="s">
        <v>287</v>
      </c>
      <c r="O7">
        <v>16</v>
      </c>
    </row>
    <row r="9" spans="1:76" x14ac:dyDescent="0.3">
      <c r="A9">
        <v>2</v>
      </c>
      <c r="B9" t="s">
        <v>29</v>
      </c>
      <c r="C9" t="s">
        <v>282</v>
      </c>
      <c r="D9">
        <v>4</v>
      </c>
      <c r="E9" t="s">
        <v>282</v>
      </c>
      <c r="G9" t="s">
        <v>273</v>
      </c>
      <c r="H9" t="s">
        <v>281</v>
      </c>
      <c r="I9">
        <v>8192</v>
      </c>
      <c r="J9">
        <v>4096</v>
      </c>
      <c r="K9" t="s">
        <v>264</v>
      </c>
      <c r="L9" t="s">
        <v>281</v>
      </c>
      <c r="N9" t="s">
        <v>287</v>
      </c>
      <c r="O9" t="s">
        <v>282</v>
      </c>
    </row>
    <row r="10" spans="1:76" x14ac:dyDescent="0.3">
      <c r="B10" t="s">
        <v>34</v>
      </c>
      <c r="C10" t="s">
        <v>259</v>
      </c>
      <c r="D10" t="s">
        <v>260</v>
      </c>
      <c r="E10" t="s">
        <v>260</v>
      </c>
      <c r="G10" t="s">
        <v>326</v>
      </c>
      <c r="H10" t="s">
        <v>284</v>
      </c>
      <c r="I10">
        <v>512</v>
      </c>
      <c r="J10">
        <v>128</v>
      </c>
      <c r="K10" t="s">
        <v>284</v>
      </c>
      <c r="L10" t="s">
        <v>284</v>
      </c>
      <c r="N10" t="s">
        <v>259</v>
      </c>
      <c r="O10" t="s">
        <v>260</v>
      </c>
    </row>
    <row r="11" spans="1:76" x14ac:dyDescent="0.3">
      <c r="B11" t="s">
        <v>36</v>
      </c>
      <c r="C11">
        <v>4</v>
      </c>
      <c r="D11" t="s">
        <v>300</v>
      </c>
      <c r="E11" t="s">
        <v>282</v>
      </c>
      <c r="G11" t="s">
        <v>273</v>
      </c>
      <c r="H11" t="s">
        <v>281</v>
      </c>
      <c r="I11">
        <v>4096</v>
      </c>
      <c r="J11">
        <v>2048</v>
      </c>
      <c r="K11" t="s">
        <v>264</v>
      </c>
      <c r="L11">
        <v>16</v>
      </c>
      <c r="N11" t="s">
        <v>287</v>
      </c>
      <c r="O11">
        <v>8</v>
      </c>
    </row>
    <row r="12" spans="1:76" x14ac:dyDescent="0.3">
      <c r="B12" t="s">
        <v>37</v>
      </c>
      <c r="C12" t="s">
        <v>282</v>
      </c>
      <c r="D12" t="s">
        <v>300</v>
      </c>
      <c r="E12" t="s">
        <v>282</v>
      </c>
      <c r="G12" t="s">
        <v>273</v>
      </c>
      <c r="H12" t="s">
        <v>281</v>
      </c>
      <c r="I12">
        <v>4096</v>
      </c>
      <c r="J12">
        <v>4096</v>
      </c>
      <c r="K12" t="s">
        <v>264</v>
      </c>
      <c r="L12" t="s">
        <v>281</v>
      </c>
      <c r="N12" t="s">
        <v>287</v>
      </c>
      <c r="O12">
        <v>8</v>
      </c>
    </row>
    <row r="13" spans="1:76" x14ac:dyDescent="0.3">
      <c r="B13" t="s">
        <v>40</v>
      </c>
      <c r="C13" t="s">
        <v>282</v>
      </c>
      <c r="D13" t="s">
        <v>300</v>
      </c>
      <c r="E13" t="s">
        <v>282</v>
      </c>
      <c r="G13" t="s">
        <v>273</v>
      </c>
      <c r="H13" t="s">
        <v>281</v>
      </c>
      <c r="I13">
        <v>16384</v>
      </c>
      <c r="J13">
        <v>8192</v>
      </c>
      <c r="K13" t="s">
        <v>264</v>
      </c>
      <c r="L13" t="s">
        <v>281</v>
      </c>
      <c r="N13" t="s">
        <v>287</v>
      </c>
      <c r="O13" t="s">
        <v>282</v>
      </c>
    </row>
    <row r="14" spans="1:76" x14ac:dyDescent="0.3">
      <c r="B14" t="s">
        <v>42</v>
      </c>
      <c r="C14" t="s">
        <v>259</v>
      </c>
      <c r="D14" t="s">
        <v>260</v>
      </c>
      <c r="E14" t="s">
        <v>259</v>
      </c>
      <c r="G14" t="s">
        <v>273</v>
      </c>
      <c r="H14" t="s">
        <v>281</v>
      </c>
      <c r="I14">
        <v>16384</v>
      </c>
      <c r="J14">
        <v>512</v>
      </c>
      <c r="K14" t="s">
        <v>264</v>
      </c>
      <c r="L14" t="s">
        <v>281</v>
      </c>
      <c r="N14" t="s">
        <v>287</v>
      </c>
      <c r="O14" t="s">
        <v>282</v>
      </c>
    </row>
    <row r="15" spans="1:76" x14ac:dyDescent="0.3">
      <c r="B15" t="s">
        <v>46</v>
      </c>
      <c r="C15" t="s">
        <v>282</v>
      </c>
      <c r="D15" t="s">
        <v>300</v>
      </c>
      <c r="E15" t="s">
        <v>272</v>
      </c>
      <c r="G15" t="s">
        <v>290</v>
      </c>
      <c r="H15" t="s">
        <v>281</v>
      </c>
      <c r="I15">
        <v>16384</v>
      </c>
      <c r="J15">
        <v>4096</v>
      </c>
      <c r="K15" t="s">
        <v>264</v>
      </c>
      <c r="L15" t="s">
        <v>281</v>
      </c>
      <c r="N15" t="s">
        <v>287</v>
      </c>
      <c r="O15" t="s">
        <v>282</v>
      </c>
    </row>
    <row r="16" spans="1:76" x14ac:dyDescent="0.3">
      <c r="A16" t="s">
        <v>554</v>
      </c>
      <c r="C16" t="s">
        <v>282</v>
      </c>
      <c r="D16" t="s">
        <v>300</v>
      </c>
      <c r="E16" t="s">
        <v>282</v>
      </c>
      <c r="G16" t="s">
        <v>273</v>
      </c>
      <c r="H16" t="s">
        <v>281</v>
      </c>
      <c r="I16">
        <v>8192</v>
      </c>
      <c r="J16">
        <v>4096</v>
      </c>
      <c r="K16" t="s">
        <v>264</v>
      </c>
      <c r="L16" t="s">
        <v>281</v>
      </c>
      <c r="N16" t="s">
        <v>287</v>
      </c>
      <c r="O16" t="s">
        <v>282</v>
      </c>
    </row>
    <row r="17" spans="1:15" x14ac:dyDescent="0.3">
      <c r="A17" t="s">
        <v>555</v>
      </c>
      <c r="C17" t="s">
        <v>282</v>
      </c>
      <c r="D17" t="s">
        <v>300</v>
      </c>
      <c r="E17" t="s">
        <v>282</v>
      </c>
      <c r="G17" t="s">
        <v>273</v>
      </c>
      <c r="H17" t="s">
        <v>281</v>
      </c>
      <c r="I17">
        <v>16384</v>
      </c>
      <c r="J17">
        <v>8192</v>
      </c>
      <c r="K17" t="s">
        <v>264</v>
      </c>
      <c r="L17" t="s">
        <v>281</v>
      </c>
      <c r="N17" t="s">
        <v>287</v>
      </c>
      <c r="O17" t="s">
        <v>282</v>
      </c>
    </row>
    <row r="19" spans="1:15" x14ac:dyDescent="0.3">
      <c r="A19">
        <v>3</v>
      </c>
      <c r="B19" t="s">
        <v>30</v>
      </c>
      <c r="C19" t="s">
        <v>259</v>
      </c>
      <c r="D19">
        <v>2</v>
      </c>
      <c r="E19" t="s">
        <v>259</v>
      </c>
      <c r="G19" t="s">
        <v>290</v>
      </c>
      <c r="H19">
        <v>16</v>
      </c>
      <c r="I19">
        <v>8192</v>
      </c>
      <c r="J19">
        <v>128</v>
      </c>
      <c r="K19" t="s">
        <v>264</v>
      </c>
      <c r="L19" t="s">
        <v>281</v>
      </c>
      <c r="N19" t="s">
        <v>287</v>
      </c>
      <c r="O19" t="s">
        <v>282</v>
      </c>
    </row>
    <row r="20" spans="1:15" x14ac:dyDescent="0.3">
      <c r="B20" t="s">
        <v>33</v>
      </c>
      <c r="C20">
        <v>1</v>
      </c>
      <c r="D20">
        <v>4</v>
      </c>
      <c r="E20" t="s">
        <v>259</v>
      </c>
      <c r="G20" t="s">
        <v>290</v>
      </c>
      <c r="H20" t="s">
        <v>281</v>
      </c>
      <c r="I20">
        <v>16384</v>
      </c>
      <c r="J20">
        <v>256</v>
      </c>
      <c r="K20" t="s">
        <v>264</v>
      </c>
      <c r="L20" t="s">
        <v>281</v>
      </c>
      <c r="N20" t="s">
        <v>287</v>
      </c>
      <c r="O20" t="s">
        <v>282</v>
      </c>
    </row>
    <row r="21" spans="1:15" x14ac:dyDescent="0.3">
      <c r="B21" t="s">
        <v>50</v>
      </c>
      <c r="C21" t="s">
        <v>282</v>
      </c>
      <c r="D21" t="s">
        <v>300</v>
      </c>
      <c r="E21">
        <v>8</v>
      </c>
      <c r="G21" t="s">
        <v>273</v>
      </c>
      <c r="H21" t="s">
        <v>281</v>
      </c>
      <c r="I21" t="s">
        <v>296</v>
      </c>
      <c r="J21">
        <v>2048</v>
      </c>
      <c r="K21" t="s">
        <v>264</v>
      </c>
      <c r="L21" t="s">
        <v>281</v>
      </c>
      <c r="N21" t="s">
        <v>287</v>
      </c>
      <c r="O21" t="s">
        <v>282</v>
      </c>
    </row>
    <row r="22" spans="1:15" x14ac:dyDescent="0.3">
      <c r="B22" t="s">
        <v>51</v>
      </c>
      <c r="C22" t="s">
        <v>282</v>
      </c>
      <c r="D22" t="s">
        <v>300</v>
      </c>
      <c r="E22" t="s">
        <v>282</v>
      </c>
      <c r="G22" t="s">
        <v>273</v>
      </c>
      <c r="H22" t="s">
        <v>281</v>
      </c>
      <c r="I22">
        <v>16384</v>
      </c>
      <c r="J22">
        <v>2048</v>
      </c>
      <c r="K22" t="s">
        <v>264</v>
      </c>
      <c r="L22" t="s">
        <v>281</v>
      </c>
      <c r="N22" t="s">
        <v>287</v>
      </c>
      <c r="O22" t="s">
        <v>282</v>
      </c>
    </row>
    <row r="23" spans="1:15" x14ac:dyDescent="0.3">
      <c r="A23" t="s">
        <v>554</v>
      </c>
      <c r="C23">
        <v>1</v>
      </c>
      <c r="D23">
        <v>4</v>
      </c>
      <c r="E23" t="s">
        <v>259</v>
      </c>
      <c r="G23" t="s">
        <v>290</v>
      </c>
      <c r="H23">
        <v>16</v>
      </c>
      <c r="I23">
        <v>16384</v>
      </c>
      <c r="J23">
        <v>256</v>
      </c>
      <c r="K23">
        <v>64</v>
      </c>
      <c r="L23">
        <v>64</v>
      </c>
      <c r="N23">
        <v>4</v>
      </c>
      <c r="O23">
        <v>16</v>
      </c>
    </row>
    <row r="24" spans="1:15" x14ac:dyDescent="0.3">
      <c r="A24" t="s">
        <v>555</v>
      </c>
      <c r="C24">
        <v>16</v>
      </c>
      <c r="D24">
        <v>8</v>
      </c>
      <c r="E24" t="s">
        <v>282</v>
      </c>
      <c r="G24" t="s">
        <v>273</v>
      </c>
      <c r="H24">
        <v>64</v>
      </c>
      <c r="I24" t="s">
        <v>296</v>
      </c>
      <c r="J24">
        <v>2048</v>
      </c>
      <c r="K24">
        <v>64</v>
      </c>
      <c r="L24">
        <v>64</v>
      </c>
      <c r="N24">
        <v>4</v>
      </c>
      <c r="O24">
        <v>16</v>
      </c>
    </row>
    <row r="26" spans="1:15" x14ac:dyDescent="0.3">
      <c r="A26">
        <v>4</v>
      </c>
      <c r="B26" t="s">
        <v>31</v>
      </c>
      <c r="C26" t="s">
        <v>282</v>
      </c>
      <c r="D26" t="s">
        <v>300</v>
      </c>
      <c r="E26" t="s">
        <v>282</v>
      </c>
      <c r="G26" t="s">
        <v>273</v>
      </c>
      <c r="H26" t="s">
        <v>281</v>
      </c>
      <c r="I26">
        <v>8192</v>
      </c>
      <c r="J26">
        <v>64</v>
      </c>
      <c r="K26" t="s">
        <v>264</v>
      </c>
      <c r="L26">
        <v>4</v>
      </c>
      <c r="N26">
        <v>1</v>
      </c>
      <c r="O26">
        <v>2</v>
      </c>
    </row>
    <row r="27" spans="1:15" x14ac:dyDescent="0.3">
      <c r="A27" t="s">
        <v>554</v>
      </c>
    </row>
    <row r="28" spans="1:15" x14ac:dyDescent="0.3">
      <c r="A28" t="s">
        <v>555</v>
      </c>
    </row>
    <row r="29" spans="1:15" x14ac:dyDescent="0.3">
      <c r="A29">
        <v>5</v>
      </c>
      <c r="B29" t="s">
        <v>54</v>
      </c>
      <c r="C29" t="s">
        <v>259</v>
      </c>
      <c r="D29" t="s">
        <v>260</v>
      </c>
      <c r="E29" t="s">
        <v>259</v>
      </c>
      <c r="G29" t="s">
        <v>261</v>
      </c>
      <c r="H29">
        <v>8</v>
      </c>
      <c r="I29">
        <v>16384</v>
      </c>
      <c r="J29">
        <v>2048</v>
      </c>
      <c r="K29" t="s">
        <v>264</v>
      </c>
      <c r="L29">
        <v>2</v>
      </c>
      <c r="N29">
        <v>0.5</v>
      </c>
      <c r="O29">
        <v>2</v>
      </c>
    </row>
    <row r="30" spans="1:15" x14ac:dyDescent="0.3">
      <c r="A30" t="s">
        <v>554</v>
      </c>
    </row>
    <row r="31" spans="1:15" x14ac:dyDescent="0.3">
      <c r="A31" t="s">
        <v>555</v>
      </c>
    </row>
    <row r="32" spans="1:15" x14ac:dyDescent="0.3">
      <c r="A32">
        <v>6</v>
      </c>
      <c r="B32" t="s">
        <v>35</v>
      </c>
      <c r="C32" t="s">
        <v>282</v>
      </c>
      <c r="D32" t="s">
        <v>300</v>
      </c>
      <c r="E32" t="s">
        <v>282</v>
      </c>
      <c r="G32" t="s">
        <v>273</v>
      </c>
      <c r="H32" t="s">
        <v>281</v>
      </c>
      <c r="I32">
        <v>4096</v>
      </c>
      <c r="J32">
        <v>8192</v>
      </c>
      <c r="K32" t="s">
        <v>264</v>
      </c>
      <c r="L32">
        <v>16</v>
      </c>
      <c r="N32" t="s">
        <v>287</v>
      </c>
      <c r="O32" t="s">
        <v>282</v>
      </c>
    </row>
    <row r="33" spans="1:15" x14ac:dyDescent="0.3">
      <c r="B33" t="s">
        <v>49</v>
      </c>
      <c r="C33" t="s">
        <v>282</v>
      </c>
      <c r="D33" t="s">
        <v>300</v>
      </c>
      <c r="E33" t="s">
        <v>282</v>
      </c>
      <c r="G33" t="s">
        <v>273</v>
      </c>
      <c r="H33" t="s">
        <v>281</v>
      </c>
      <c r="I33">
        <v>8192</v>
      </c>
      <c r="J33" t="s">
        <v>375</v>
      </c>
      <c r="K33" t="s">
        <v>264</v>
      </c>
      <c r="L33" t="s">
        <v>281</v>
      </c>
      <c r="N33" t="s">
        <v>287</v>
      </c>
      <c r="O33" t="s">
        <v>282</v>
      </c>
    </row>
    <row r="34" spans="1:15" x14ac:dyDescent="0.3">
      <c r="A34" t="s">
        <v>554</v>
      </c>
      <c r="C34" t="s">
        <v>282</v>
      </c>
      <c r="D34" t="s">
        <v>300</v>
      </c>
      <c r="E34" t="s">
        <v>282</v>
      </c>
      <c r="G34" t="s">
        <v>273</v>
      </c>
      <c r="H34" t="s">
        <v>281</v>
      </c>
      <c r="I34">
        <v>4096</v>
      </c>
      <c r="J34">
        <v>8192</v>
      </c>
      <c r="K34" t="s">
        <v>281</v>
      </c>
      <c r="L34">
        <v>16</v>
      </c>
      <c r="N34" t="s">
        <v>287</v>
      </c>
      <c r="O34" t="s">
        <v>282</v>
      </c>
    </row>
    <row r="35" spans="1:15" x14ac:dyDescent="0.3">
      <c r="A35" t="s">
        <v>555</v>
      </c>
      <c r="C35" t="s">
        <v>282</v>
      </c>
      <c r="D35" t="s">
        <v>300</v>
      </c>
      <c r="E35" t="s">
        <v>282</v>
      </c>
      <c r="G35" t="s">
        <v>273</v>
      </c>
      <c r="H35" t="s">
        <v>281</v>
      </c>
      <c r="I35">
        <v>8192</v>
      </c>
      <c r="J35" t="s">
        <v>375</v>
      </c>
      <c r="K35" t="s">
        <v>281</v>
      </c>
      <c r="L35" t="s">
        <v>281</v>
      </c>
      <c r="N35" t="s">
        <v>287</v>
      </c>
      <c r="O35" t="s">
        <v>282</v>
      </c>
    </row>
    <row r="37" spans="1:15" x14ac:dyDescent="0.3">
      <c r="A37">
        <v>7</v>
      </c>
      <c r="B37" t="s">
        <v>41</v>
      </c>
      <c r="C37" t="s">
        <v>282</v>
      </c>
      <c r="D37" t="s">
        <v>300</v>
      </c>
      <c r="E37" t="s">
        <v>282</v>
      </c>
      <c r="G37" t="s">
        <v>301</v>
      </c>
      <c r="H37" t="s">
        <v>281</v>
      </c>
      <c r="I37">
        <v>16384</v>
      </c>
      <c r="J37">
        <v>256</v>
      </c>
      <c r="K37" t="s">
        <v>264</v>
      </c>
      <c r="L37" t="s">
        <v>281</v>
      </c>
      <c r="N37" t="s">
        <v>287</v>
      </c>
      <c r="O37" t="s">
        <v>282</v>
      </c>
    </row>
    <row r="38" spans="1:15" x14ac:dyDescent="0.3">
      <c r="B38" t="s">
        <v>43</v>
      </c>
      <c r="C38" t="s">
        <v>282</v>
      </c>
      <c r="D38" t="s">
        <v>300</v>
      </c>
      <c r="E38" t="s">
        <v>282</v>
      </c>
      <c r="G38" t="s">
        <v>358</v>
      </c>
      <c r="H38" t="s">
        <v>281</v>
      </c>
      <c r="I38">
        <v>4096</v>
      </c>
      <c r="J38">
        <v>512</v>
      </c>
      <c r="K38" t="s">
        <v>264</v>
      </c>
      <c r="L38" t="s">
        <v>281</v>
      </c>
      <c r="N38" t="s">
        <v>287</v>
      </c>
      <c r="O38" t="s">
        <v>282</v>
      </c>
    </row>
    <row r="39" spans="1:15" x14ac:dyDescent="0.3">
      <c r="B39" t="s">
        <v>52</v>
      </c>
      <c r="C39" t="s">
        <v>282</v>
      </c>
      <c r="D39" t="s">
        <v>300</v>
      </c>
      <c r="E39" t="s">
        <v>282</v>
      </c>
      <c r="G39" t="s">
        <v>363</v>
      </c>
      <c r="H39" t="s">
        <v>281</v>
      </c>
      <c r="I39">
        <v>16384</v>
      </c>
      <c r="J39">
        <v>1024</v>
      </c>
      <c r="K39" t="s">
        <v>264</v>
      </c>
      <c r="L39" t="s">
        <v>281</v>
      </c>
      <c r="N39" t="s">
        <v>287</v>
      </c>
      <c r="O39" t="s">
        <v>282</v>
      </c>
    </row>
    <row r="40" spans="1:15" x14ac:dyDescent="0.3">
      <c r="A40" t="s">
        <v>554</v>
      </c>
      <c r="C40" t="s">
        <v>282</v>
      </c>
      <c r="E40" t="s">
        <v>282</v>
      </c>
      <c r="G40" t="s">
        <v>301</v>
      </c>
      <c r="H40" t="s">
        <v>281</v>
      </c>
      <c r="I40">
        <v>16384</v>
      </c>
      <c r="J40">
        <v>512</v>
      </c>
      <c r="K40" t="s">
        <v>281</v>
      </c>
      <c r="L40" t="s">
        <v>281</v>
      </c>
      <c r="N40" t="s">
        <v>287</v>
      </c>
      <c r="O40" t="s">
        <v>282</v>
      </c>
    </row>
    <row r="41" spans="1:15" x14ac:dyDescent="0.3">
      <c r="A41" t="s">
        <v>555</v>
      </c>
      <c r="C41" t="s">
        <v>282</v>
      </c>
      <c r="E41" t="s">
        <v>282</v>
      </c>
      <c r="G41" t="s">
        <v>363</v>
      </c>
      <c r="H41" t="s">
        <v>281</v>
      </c>
      <c r="I41">
        <v>16384</v>
      </c>
      <c r="J41">
        <v>1024</v>
      </c>
      <c r="K41" t="s">
        <v>281</v>
      </c>
      <c r="L41" t="s">
        <v>281</v>
      </c>
      <c r="N41" t="s">
        <v>287</v>
      </c>
      <c r="O41" t="s">
        <v>282</v>
      </c>
    </row>
    <row r="43" spans="1:15" x14ac:dyDescent="0.3">
      <c r="A43">
        <v>8</v>
      </c>
      <c r="B43" t="s">
        <v>38</v>
      </c>
      <c r="C43" t="s">
        <v>282</v>
      </c>
      <c r="D43" t="s">
        <v>300</v>
      </c>
      <c r="E43" t="s">
        <v>282</v>
      </c>
      <c r="G43" t="s">
        <v>273</v>
      </c>
      <c r="H43" t="s">
        <v>281</v>
      </c>
      <c r="I43">
        <v>8192</v>
      </c>
      <c r="J43">
        <v>4096</v>
      </c>
      <c r="K43" t="s">
        <v>264</v>
      </c>
      <c r="L43">
        <v>16</v>
      </c>
      <c r="N43" t="s">
        <v>287</v>
      </c>
      <c r="O43">
        <v>8</v>
      </c>
    </row>
    <row r="44" spans="1:15" x14ac:dyDescent="0.3">
      <c r="B44" t="s">
        <v>39</v>
      </c>
      <c r="C44" t="s">
        <v>282</v>
      </c>
      <c r="D44" t="s">
        <v>300</v>
      </c>
      <c r="E44" t="s">
        <v>282</v>
      </c>
      <c r="G44" t="s">
        <v>273</v>
      </c>
      <c r="H44" t="s">
        <v>281</v>
      </c>
      <c r="I44">
        <v>8192</v>
      </c>
      <c r="J44">
        <v>2048</v>
      </c>
      <c r="K44" t="s">
        <v>264</v>
      </c>
      <c r="L44" t="s">
        <v>281</v>
      </c>
      <c r="N44" t="s">
        <v>287</v>
      </c>
      <c r="O44" t="s">
        <v>282</v>
      </c>
    </row>
    <row r="45" spans="1:15" x14ac:dyDescent="0.3">
      <c r="B45" t="s">
        <v>44</v>
      </c>
      <c r="C45" t="s">
        <v>282</v>
      </c>
      <c r="D45" t="s">
        <v>300</v>
      </c>
      <c r="E45" t="s">
        <v>282</v>
      </c>
      <c r="G45" t="s">
        <v>363</v>
      </c>
      <c r="H45" t="s">
        <v>281</v>
      </c>
      <c r="I45" t="s">
        <v>296</v>
      </c>
      <c r="J45">
        <v>8192</v>
      </c>
      <c r="K45" t="s">
        <v>264</v>
      </c>
      <c r="L45" t="s">
        <v>281</v>
      </c>
      <c r="N45" t="s">
        <v>287</v>
      </c>
      <c r="O45" t="s">
        <v>282</v>
      </c>
    </row>
    <row r="46" spans="1:15" x14ac:dyDescent="0.3">
      <c r="B46" t="s">
        <v>45</v>
      </c>
      <c r="C46" t="s">
        <v>282</v>
      </c>
      <c r="D46" t="s">
        <v>300</v>
      </c>
      <c r="E46" t="s">
        <v>282</v>
      </c>
      <c r="G46" t="s">
        <v>273</v>
      </c>
      <c r="H46" t="s">
        <v>281</v>
      </c>
      <c r="I46" t="s">
        <v>296</v>
      </c>
      <c r="J46">
        <v>2048</v>
      </c>
      <c r="K46" t="s">
        <v>264</v>
      </c>
      <c r="L46" t="s">
        <v>281</v>
      </c>
      <c r="N46" t="s">
        <v>287</v>
      </c>
      <c r="O46" t="s">
        <v>282</v>
      </c>
    </row>
    <row r="47" spans="1:15" x14ac:dyDescent="0.3">
      <c r="B47" t="s">
        <v>47</v>
      </c>
      <c r="C47">
        <v>1</v>
      </c>
      <c r="D47" t="s">
        <v>260</v>
      </c>
      <c r="E47" t="s">
        <v>259</v>
      </c>
      <c r="G47" t="s">
        <v>370</v>
      </c>
      <c r="H47">
        <v>16</v>
      </c>
      <c r="I47">
        <v>8192</v>
      </c>
      <c r="J47">
        <v>1024</v>
      </c>
      <c r="K47" t="s">
        <v>284</v>
      </c>
      <c r="L47" t="s">
        <v>281</v>
      </c>
      <c r="N47">
        <v>1</v>
      </c>
      <c r="O47">
        <v>4</v>
      </c>
    </row>
    <row r="48" spans="1:15" x14ac:dyDescent="0.3">
      <c r="B48" t="s">
        <v>53</v>
      </c>
      <c r="C48" t="s">
        <v>282</v>
      </c>
      <c r="D48" t="s">
        <v>300</v>
      </c>
      <c r="E48" t="s">
        <v>282</v>
      </c>
      <c r="G48" t="s">
        <v>273</v>
      </c>
      <c r="H48" t="s">
        <v>281</v>
      </c>
      <c r="I48">
        <v>16384</v>
      </c>
      <c r="J48">
        <v>8192</v>
      </c>
      <c r="K48" t="s">
        <v>264</v>
      </c>
      <c r="L48" t="s">
        <v>281</v>
      </c>
      <c r="N48">
        <v>2</v>
      </c>
      <c r="O48">
        <v>4</v>
      </c>
    </row>
    <row r="49" spans="1:15" x14ac:dyDescent="0.3">
      <c r="A49" t="s">
        <v>554</v>
      </c>
      <c r="C49" t="s">
        <v>282</v>
      </c>
      <c r="E49" t="s">
        <v>282</v>
      </c>
      <c r="G49" t="s">
        <v>273</v>
      </c>
      <c r="H49" t="s">
        <v>281</v>
      </c>
      <c r="I49">
        <v>8192</v>
      </c>
      <c r="J49">
        <v>2048</v>
      </c>
      <c r="K49" t="s">
        <v>281</v>
      </c>
      <c r="L49" t="s">
        <v>281</v>
      </c>
      <c r="N49" t="s">
        <v>287</v>
      </c>
      <c r="O49">
        <v>8</v>
      </c>
    </row>
    <row r="50" spans="1:15" x14ac:dyDescent="0.3">
      <c r="A50" t="s">
        <v>555</v>
      </c>
      <c r="C50" t="s">
        <v>282</v>
      </c>
      <c r="E50" t="s">
        <v>282</v>
      </c>
      <c r="G50" t="s">
        <v>273</v>
      </c>
      <c r="H50" t="s">
        <v>281</v>
      </c>
      <c r="I50">
        <v>16384</v>
      </c>
      <c r="J50">
        <v>8192</v>
      </c>
      <c r="K50" t="s">
        <v>281</v>
      </c>
      <c r="L50" t="s">
        <v>281</v>
      </c>
      <c r="N50" t="s">
        <v>287</v>
      </c>
      <c r="O50" t="s">
        <v>282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D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8" customWidth="1"/>
    <col min="4" max="4" width="20" customWidth="1"/>
    <col min="5" max="14" width="18" customWidth="1"/>
    <col min="15" max="36" width="17" customWidth="1"/>
    <col min="37" max="108" width="20" customWidth="1"/>
  </cols>
  <sheetData>
    <row r="1" spans="1:108" ht="36" customHeight="1" x14ac:dyDescent="0.3">
      <c r="A1" s="2" t="s">
        <v>556</v>
      </c>
      <c r="B1" s="2" t="s">
        <v>557</v>
      </c>
      <c r="C1" s="2" t="s">
        <v>558</v>
      </c>
      <c r="D1" s="2" t="s">
        <v>559</v>
      </c>
      <c r="E1" s="2" t="s">
        <v>560</v>
      </c>
      <c r="F1" s="2" t="s">
        <v>561</v>
      </c>
      <c r="G1" s="2" t="s">
        <v>562</v>
      </c>
      <c r="H1" s="2" t="s">
        <v>563</v>
      </c>
      <c r="I1" s="2" t="s">
        <v>564</v>
      </c>
      <c r="J1" s="2" t="s">
        <v>565</v>
      </c>
      <c r="K1" s="2" t="s">
        <v>566</v>
      </c>
      <c r="L1" s="2" t="s">
        <v>567</v>
      </c>
      <c r="M1" s="2" t="s">
        <v>568</v>
      </c>
      <c r="N1" s="2" t="s">
        <v>569</v>
      </c>
      <c r="O1" s="2" t="s">
        <v>133</v>
      </c>
      <c r="P1" s="2" t="s">
        <v>134</v>
      </c>
      <c r="Q1" s="2" t="s">
        <v>135</v>
      </c>
      <c r="R1" s="2" t="s">
        <v>136</v>
      </c>
      <c r="S1" s="2" t="s">
        <v>137</v>
      </c>
      <c r="T1" s="2" t="s">
        <v>138</v>
      </c>
      <c r="U1" s="2" t="s">
        <v>139</v>
      </c>
      <c r="V1" s="2" t="s">
        <v>140</v>
      </c>
      <c r="W1" s="2" t="s">
        <v>141</v>
      </c>
      <c r="X1" s="2" t="s">
        <v>142</v>
      </c>
      <c r="Y1" s="2" t="s">
        <v>143</v>
      </c>
      <c r="Z1" s="2" t="s">
        <v>144</v>
      </c>
      <c r="AA1" s="2" t="s">
        <v>145</v>
      </c>
      <c r="AB1" s="2" t="s">
        <v>146</v>
      </c>
      <c r="AC1" s="2" t="s">
        <v>147</v>
      </c>
      <c r="AD1" s="2" t="s">
        <v>148</v>
      </c>
      <c r="AE1" s="2" t="s">
        <v>149</v>
      </c>
      <c r="AF1" s="2" t="s">
        <v>150</v>
      </c>
      <c r="AG1" s="2" t="s">
        <v>151</v>
      </c>
      <c r="AH1" s="2" t="s">
        <v>152</v>
      </c>
      <c r="AI1" s="2" t="s">
        <v>153</v>
      </c>
      <c r="AJ1" s="2" t="s">
        <v>154</v>
      </c>
      <c r="AK1" s="2" t="s">
        <v>78</v>
      </c>
      <c r="AL1" s="2" t="s">
        <v>79</v>
      </c>
      <c r="AM1" s="2" t="s">
        <v>80</v>
      </c>
      <c r="AN1" s="2" t="s">
        <v>81</v>
      </c>
      <c r="AO1" s="2" t="s">
        <v>82</v>
      </c>
      <c r="AP1" s="2" t="s">
        <v>83</v>
      </c>
      <c r="AQ1" s="2" t="s">
        <v>84</v>
      </c>
      <c r="AR1" s="2" t="s">
        <v>85</v>
      </c>
      <c r="AS1" s="2" t="s">
        <v>86</v>
      </c>
      <c r="AT1" s="2" t="s">
        <v>87</v>
      </c>
      <c r="AU1" s="2" t="s">
        <v>88</v>
      </c>
      <c r="AV1" s="2" t="s">
        <v>89</v>
      </c>
      <c r="AW1" s="2" t="s">
        <v>90</v>
      </c>
      <c r="AX1" s="2" t="s">
        <v>91</v>
      </c>
      <c r="AY1" s="2" t="s">
        <v>92</v>
      </c>
      <c r="AZ1" s="2" t="s">
        <v>93</v>
      </c>
      <c r="BA1" s="2" t="s">
        <v>94</v>
      </c>
      <c r="BB1" s="2" t="s">
        <v>95</v>
      </c>
      <c r="BC1" s="2" t="s">
        <v>96</v>
      </c>
      <c r="BD1" s="2" t="s">
        <v>97</v>
      </c>
      <c r="BE1" s="2" t="s">
        <v>98</v>
      </c>
      <c r="BF1" s="2" t="s">
        <v>99</v>
      </c>
      <c r="BG1" s="2" t="s">
        <v>100</v>
      </c>
      <c r="BH1" s="2" t="s">
        <v>101</v>
      </c>
      <c r="BI1" s="2" t="s">
        <v>102</v>
      </c>
      <c r="BJ1" s="2" t="s">
        <v>103</v>
      </c>
      <c r="BK1" s="2" t="s">
        <v>104</v>
      </c>
      <c r="BL1" s="2" t="s">
        <v>105</v>
      </c>
      <c r="BM1" s="2" t="s">
        <v>106</v>
      </c>
      <c r="BN1" s="2" t="s">
        <v>107</v>
      </c>
      <c r="BO1" s="2" t="s">
        <v>108</v>
      </c>
      <c r="BP1" s="2" t="s">
        <v>109</v>
      </c>
      <c r="BQ1" s="2" t="s">
        <v>110</v>
      </c>
      <c r="BR1" s="2" t="s">
        <v>111</v>
      </c>
      <c r="BS1" s="2" t="s">
        <v>112</v>
      </c>
      <c r="BT1" s="2" t="s">
        <v>113</v>
      </c>
      <c r="BU1" s="2" t="s">
        <v>114</v>
      </c>
      <c r="BV1" s="2" t="s">
        <v>115</v>
      </c>
      <c r="BW1" s="2" t="s">
        <v>116</v>
      </c>
      <c r="BX1" s="2" t="s">
        <v>117</v>
      </c>
      <c r="BY1" s="2" t="s">
        <v>118</v>
      </c>
      <c r="BZ1" s="2" t="s">
        <v>119</v>
      </c>
      <c r="CA1" s="2" t="s">
        <v>120</v>
      </c>
      <c r="CB1" s="2" t="s">
        <v>121</v>
      </c>
      <c r="CC1" s="2" t="s">
        <v>122</v>
      </c>
      <c r="CD1" s="2" t="s">
        <v>123</v>
      </c>
      <c r="CE1" s="2" t="s">
        <v>124</v>
      </c>
      <c r="CF1" s="2" t="s">
        <v>125</v>
      </c>
      <c r="CG1" s="2" t="s">
        <v>126</v>
      </c>
      <c r="CH1" s="2" t="s">
        <v>127</v>
      </c>
      <c r="CI1" s="2" t="s">
        <v>128</v>
      </c>
      <c r="CJ1" s="2" t="s">
        <v>129</v>
      </c>
      <c r="CK1" s="2" t="s">
        <v>130</v>
      </c>
      <c r="CL1" s="2" t="s">
        <v>131</v>
      </c>
      <c r="CM1" s="2" t="s">
        <v>412</v>
      </c>
      <c r="CN1" s="2" t="s">
        <v>413</v>
      </c>
      <c r="CO1" s="2" t="s">
        <v>414</v>
      </c>
      <c r="CP1" s="2" t="s">
        <v>415</v>
      </c>
      <c r="CQ1" s="2" t="s">
        <v>416</v>
      </c>
      <c r="CR1" s="2" t="s">
        <v>417</v>
      </c>
      <c r="CS1" s="2" t="s">
        <v>418</v>
      </c>
      <c r="CT1" s="2" t="s">
        <v>419</v>
      </c>
      <c r="CU1" s="2" t="s">
        <v>420</v>
      </c>
      <c r="CV1" s="2" t="s">
        <v>421</v>
      </c>
      <c r="CW1" s="2" t="s">
        <v>422</v>
      </c>
      <c r="CX1" s="2" t="s">
        <v>423</v>
      </c>
      <c r="CY1" s="2" t="s">
        <v>424</v>
      </c>
      <c r="CZ1" s="2" t="s">
        <v>425</v>
      </c>
      <c r="DA1" s="2" t="s">
        <v>426</v>
      </c>
      <c r="DB1" s="2" t="s">
        <v>427</v>
      </c>
      <c r="DC1" s="2" t="s">
        <v>428</v>
      </c>
      <c r="DD1" s="2" t="s">
        <v>429</v>
      </c>
    </row>
    <row r="2" spans="1:108" x14ac:dyDescent="0.3">
      <c r="A2" s="3" t="s">
        <v>28</v>
      </c>
      <c r="B2" s="3">
        <v>2019</v>
      </c>
      <c r="C2" s="3">
        <v>39</v>
      </c>
      <c r="D2" s="3" t="s">
        <v>432</v>
      </c>
      <c r="E2" s="3">
        <v>9</v>
      </c>
      <c r="F2" s="5">
        <f t="shared" ref="F2:F28" si="0">COUNTIF(O2:AJ2,"R")</f>
        <v>9</v>
      </c>
      <c r="G2" s="3">
        <v>1</v>
      </c>
      <c r="H2" s="5">
        <f t="shared" ref="H2:H28" si="1">COUNTIF(O2:AJ2,"I")</f>
        <v>1</v>
      </c>
      <c r="I2" s="3">
        <v>0</v>
      </c>
      <c r="J2" s="5">
        <f t="shared" ref="J2:J28" si="2">COUNTIF(O2:AJ2,"SDD")</f>
        <v>0</v>
      </c>
      <c r="K2" s="3">
        <v>29</v>
      </c>
      <c r="L2" s="5">
        <f t="shared" ref="L2:L28" si="3">COUNTIF(AK2:DD2,"yes")</f>
        <v>29</v>
      </c>
      <c r="M2" s="3">
        <v>16</v>
      </c>
      <c r="N2" s="5">
        <f t="shared" ref="N2:N28" si="4">COUNTIF(AK2:CL2,"yes")</f>
        <v>16</v>
      </c>
      <c r="O2" s="3" t="s">
        <v>257</v>
      </c>
      <c r="P2" s="3" t="s">
        <v>257</v>
      </c>
      <c r="Q2" s="3" t="s">
        <v>257</v>
      </c>
      <c r="R2" s="3" t="s">
        <v>257</v>
      </c>
      <c r="S2" s="3" t="s">
        <v>257</v>
      </c>
      <c r="T2" s="3" t="s">
        <v>257</v>
      </c>
      <c r="U2" s="3" t="s">
        <v>257</v>
      </c>
      <c r="V2" s="3" t="s">
        <v>262</v>
      </c>
      <c r="W2" s="3" t="s">
        <v>262</v>
      </c>
      <c r="X2" s="3" t="s">
        <v>262</v>
      </c>
      <c r="Y2" s="3" t="s">
        <v>262</v>
      </c>
      <c r="Z2" s="3" t="s">
        <v>257</v>
      </c>
      <c r="AA2" s="3" t="s">
        <v>257</v>
      </c>
      <c r="AB2" s="3" t="s">
        <v>262</v>
      </c>
      <c r="AC2" s="3" t="s">
        <v>257</v>
      </c>
      <c r="AD2" s="3" t="s">
        <v>262</v>
      </c>
      <c r="AE2" s="3" t="s">
        <v>257</v>
      </c>
      <c r="AF2" s="3" t="s">
        <v>262</v>
      </c>
      <c r="AG2" s="3" t="s">
        <v>262</v>
      </c>
      <c r="AH2" s="3" t="s">
        <v>262</v>
      </c>
      <c r="AI2" s="3" t="s">
        <v>269</v>
      </c>
      <c r="AJ2" s="3" t="s">
        <v>257</v>
      </c>
      <c r="AK2" s="3" t="s">
        <v>430</v>
      </c>
      <c r="AL2" s="3" t="s">
        <v>430</v>
      </c>
      <c r="AM2" s="3" t="s">
        <v>430</v>
      </c>
      <c r="AN2" s="3" t="s">
        <v>430</v>
      </c>
      <c r="AO2" s="3" t="s">
        <v>430</v>
      </c>
      <c r="AP2" s="3" t="s">
        <v>431</v>
      </c>
      <c r="AQ2" s="3" t="s">
        <v>431</v>
      </c>
      <c r="AR2" s="3" t="s">
        <v>431</v>
      </c>
      <c r="AS2" s="3" t="s">
        <v>431</v>
      </c>
      <c r="AT2" s="3" t="s">
        <v>430</v>
      </c>
      <c r="AU2" s="3" t="s">
        <v>430</v>
      </c>
      <c r="AV2" s="3" t="s">
        <v>430</v>
      </c>
      <c r="AW2" s="3" t="s">
        <v>430</v>
      </c>
      <c r="AX2" s="3" t="s">
        <v>430</v>
      </c>
      <c r="AY2" s="3" t="s">
        <v>430</v>
      </c>
      <c r="AZ2" s="3" t="s">
        <v>431</v>
      </c>
      <c r="BA2" s="3" t="s">
        <v>430</v>
      </c>
      <c r="BB2" s="3" t="s">
        <v>430</v>
      </c>
      <c r="BC2" s="3" t="s">
        <v>431</v>
      </c>
      <c r="BD2" s="3" t="s">
        <v>430</v>
      </c>
      <c r="BE2" s="3" t="s">
        <v>430</v>
      </c>
      <c r="BF2" s="3" t="s">
        <v>430</v>
      </c>
      <c r="BG2" s="3" t="s">
        <v>430</v>
      </c>
      <c r="BH2" s="3" t="s">
        <v>430</v>
      </c>
      <c r="BI2" s="3" t="s">
        <v>430</v>
      </c>
      <c r="BJ2" s="3" t="s">
        <v>430</v>
      </c>
      <c r="BK2" s="3" t="s">
        <v>430</v>
      </c>
      <c r="BL2" s="3" t="s">
        <v>430</v>
      </c>
      <c r="BM2" s="3" t="s">
        <v>431</v>
      </c>
      <c r="BN2" s="3" t="s">
        <v>430</v>
      </c>
      <c r="BO2" s="3" t="s">
        <v>430</v>
      </c>
      <c r="BP2" s="3" t="s">
        <v>431</v>
      </c>
      <c r="BQ2" s="3" t="s">
        <v>431</v>
      </c>
      <c r="BR2" s="3" t="s">
        <v>431</v>
      </c>
      <c r="BS2" s="3" t="s">
        <v>431</v>
      </c>
      <c r="BT2" s="3" t="s">
        <v>430</v>
      </c>
      <c r="BU2" s="3" t="s">
        <v>430</v>
      </c>
      <c r="BV2" s="3" t="s">
        <v>430</v>
      </c>
      <c r="BW2" s="3" t="s">
        <v>430</v>
      </c>
      <c r="BX2" s="3" t="s">
        <v>431</v>
      </c>
      <c r="BY2" s="3" t="s">
        <v>430</v>
      </c>
      <c r="BZ2" s="3" t="s">
        <v>431</v>
      </c>
      <c r="CA2" s="3" t="s">
        <v>431</v>
      </c>
      <c r="CB2" s="3" t="s">
        <v>430</v>
      </c>
      <c r="CC2" s="3" t="s">
        <v>431</v>
      </c>
      <c r="CD2" s="3" t="s">
        <v>430</v>
      </c>
      <c r="CE2" s="3" t="s">
        <v>430</v>
      </c>
      <c r="CF2" s="3" t="s">
        <v>430</v>
      </c>
      <c r="CG2" s="3" t="s">
        <v>430</v>
      </c>
      <c r="CH2" s="3" t="s">
        <v>430</v>
      </c>
      <c r="CI2" s="3" t="s">
        <v>430</v>
      </c>
      <c r="CJ2" s="3" t="s">
        <v>431</v>
      </c>
      <c r="CK2" s="3" t="s">
        <v>430</v>
      </c>
      <c r="CL2" s="3" t="s">
        <v>430</v>
      </c>
      <c r="CM2" s="3" t="s">
        <v>431</v>
      </c>
      <c r="CN2" s="3" t="s">
        <v>431</v>
      </c>
      <c r="CO2" s="3" t="s">
        <v>431</v>
      </c>
      <c r="CP2" s="3" t="s">
        <v>431</v>
      </c>
      <c r="CQ2" s="3" t="s">
        <v>430</v>
      </c>
      <c r="CR2" s="3" t="s">
        <v>431</v>
      </c>
      <c r="CS2" s="3" t="s">
        <v>431</v>
      </c>
      <c r="CT2" s="3" t="s">
        <v>431</v>
      </c>
      <c r="CU2" s="3" t="s">
        <v>431</v>
      </c>
      <c r="CV2" s="3" t="s">
        <v>431</v>
      </c>
      <c r="CW2" s="3" t="s">
        <v>430</v>
      </c>
      <c r="CX2" s="3" t="s">
        <v>430</v>
      </c>
      <c r="CY2" s="3" t="s">
        <v>430</v>
      </c>
      <c r="CZ2" s="3" t="s">
        <v>430</v>
      </c>
      <c r="DA2" s="3" t="s">
        <v>431</v>
      </c>
      <c r="DB2" s="3" t="s">
        <v>431</v>
      </c>
      <c r="DC2" s="3" t="s">
        <v>431</v>
      </c>
      <c r="DD2" s="3" t="s">
        <v>431</v>
      </c>
    </row>
    <row r="3" spans="1:108" x14ac:dyDescent="0.3">
      <c r="A3" s="3" t="s">
        <v>29</v>
      </c>
      <c r="B3" s="3">
        <v>2019</v>
      </c>
      <c r="C3" s="3">
        <v>383</v>
      </c>
      <c r="D3" s="3" t="s">
        <v>433</v>
      </c>
      <c r="E3" s="3">
        <v>21</v>
      </c>
      <c r="F3" s="5">
        <f t="shared" si="0"/>
        <v>21</v>
      </c>
      <c r="G3" s="3">
        <v>0</v>
      </c>
      <c r="H3" s="5">
        <f t="shared" si="1"/>
        <v>0</v>
      </c>
      <c r="I3" s="3">
        <v>0</v>
      </c>
      <c r="J3" s="5">
        <f t="shared" si="2"/>
        <v>0</v>
      </c>
      <c r="K3" s="3">
        <v>33</v>
      </c>
      <c r="L3" s="5">
        <f t="shared" si="3"/>
        <v>33</v>
      </c>
      <c r="M3" s="3">
        <v>20</v>
      </c>
      <c r="N3" s="5">
        <f t="shared" si="4"/>
        <v>20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257</v>
      </c>
      <c r="AK3" s="3" t="s">
        <v>430</v>
      </c>
      <c r="AL3" s="3" t="s">
        <v>431</v>
      </c>
      <c r="AM3" s="3" t="s">
        <v>430</v>
      </c>
      <c r="AN3" s="3" t="s">
        <v>431</v>
      </c>
      <c r="AO3" s="3" t="s">
        <v>431</v>
      </c>
      <c r="AP3" s="3" t="s">
        <v>430</v>
      </c>
      <c r="AQ3" s="3" t="s">
        <v>430</v>
      </c>
      <c r="AR3" s="3" t="s">
        <v>430</v>
      </c>
      <c r="AS3" s="3" t="s">
        <v>430</v>
      </c>
      <c r="AT3" s="3" t="s">
        <v>430</v>
      </c>
      <c r="AU3" s="3" t="s">
        <v>430</v>
      </c>
      <c r="AV3" s="3" t="s">
        <v>430</v>
      </c>
      <c r="AW3" s="3" t="s">
        <v>431</v>
      </c>
      <c r="AX3" s="3" t="s">
        <v>431</v>
      </c>
      <c r="AY3" s="3" t="s">
        <v>430</v>
      </c>
      <c r="AZ3" s="3" t="s">
        <v>430</v>
      </c>
      <c r="BA3" s="3" t="s">
        <v>430</v>
      </c>
      <c r="BB3" s="3" t="s">
        <v>430</v>
      </c>
      <c r="BC3" s="3" t="s">
        <v>431</v>
      </c>
      <c r="BD3" s="3" t="s">
        <v>430</v>
      </c>
      <c r="BE3" s="3" t="s">
        <v>430</v>
      </c>
      <c r="BF3" s="3" t="s">
        <v>430</v>
      </c>
      <c r="BG3" s="3" t="s">
        <v>430</v>
      </c>
      <c r="BH3" s="3" t="s">
        <v>430</v>
      </c>
      <c r="BI3" s="3" t="s">
        <v>430</v>
      </c>
      <c r="BJ3" s="3" t="s">
        <v>431</v>
      </c>
      <c r="BK3" s="3" t="s">
        <v>430</v>
      </c>
      <c r="BL3" s="3" t="s">
        <v>430</v>
      </c>
      <c r="BM3" s="3" t="s">
        <v>431</v>
      </c>
      <c r="BN3" s="3" t="s">
        <v>430</v>
      </c>
      <c r="BO3" s="3" t="s">
        <v>431</v>
      </c>
      <c r="BP3" s="3" t="s">
        <v>430</v>
      </c>
      <c r="BQ3" s="3" t="s">
        <v>431</v>
      </c>
      <c r="BR3" s="3" t="s">
        <v>431</v>
      </c>
      <c r="BS3" s="3" t="s">
        <v>431</v>
      </c>
      <c r="BT3" s="3" t="s">
        <v>430</v>
      </c>
      <c r="BU3" s="3" t="s">
        <v>430</v>
      </c>
      <c r="BV3" s="3" t="s">
        <v>430</v>
      </c>
      <c r="BW3" s="3" t="s">
        <v>431</v>
      </c>
      <c r="BX3" s="3" t="s">
        <v>430</v>
      </c>
      <c r="BY3" s="3" t="s">
        <v>431</v>
      </c>
      <c r="BZ3" s="3" t="s">
        <v>431</v>
      </c>
      <c r="CA3" s="3" t="s">
        <v>430</v>
      </c>
      <c r="CB3" s="3" t="s">
        <v>430</v>
      </c>
      <c r="CC3" s="3" t="s">
        <v>431</v>
      </c>
      <c r="CD3" s="3" t="s">
        <v>430</v>
      </c>
      <c r="CE3" s="3" t="s">
        <v>430</v>
      </c>
      <c r="CF3" s="3" t="s">
        <v>430</v>
      </c>
      <c r="CG3" s="3" t="s">
        <v>431</v>
      </c>
      <c r="CH3" s="3" t="s">
        <v>430</v>
      </c>
      <c r="CI3" s="3" t="s">
        <v>430</v>
      </c>
      <c r="CJ3" s="3" t="s">
        <v>431</v>
      </c>
      <c r="CK3" s="3" t="s">
        <v>431</v>
      </c>
      <c r="CL3" s="3" t="s">
        <v>431</v>
      </c>
      <c r="CM3" s="3" t="s">
        <v>431</v>
      </c>
      <c r="CN3" s="3" t="s">
        <v>431</v>
      </c>
      <c r="CO3" s="3" t="s">
        <v>431</v>
      </c>
      <c r="CP3" s="3" t="s">
        <v>431</v>
      </c>
      <c r="CQ3" s="3" t="s">
        <v>430</v>
      </c>
      <c r="CR3" s="3" t="s">
        <v>431</v>
      </c>
      <c r="CS3" s="3" t="s">
        <v>431</v>
      </c>
      <c r="CT3" s="3" t="s">
        <v>431</v>
      </c>
      <c r="CU3" s="3" t="s">
        <v>431</v>
      </c>
      <c r="CV3" s="3" t="s">
        <v>431</v>
      </c>
      <c r="CW3" s="3" t="s">
        <v>430</v>
      </c>
      <c r="CX3" s="3" t="s">
        <v>430</v>
      </c>
      <c r="CY3" s="3" t="s">
        <v>430</v>
      </c>
      <c r="CZ3" s="3" t="s">
        <v>430</v>
      </c>
      <c r="DA3" s="3" t="s">
        <v>431</v>
      </c>
      <c r="DB3" s="3" t="s">
        <v>431</v>
      </c>
      <c r="DC3" s="3" t="s">
        <v>431</v>
      </c>
      <c r="DD3" s="3" t="s">
        <v>431</v>
      </c>
    </row>
    <row r="4" spans="1:108" x14ac:dyDescent="0.3">
      <c r="A4" s="3" t="s">
        <v>30</v>
      </c>
      <c r="B4" s="3">
        <v>2019</v>
      </c>
      <c r="C4" s="3">
        <v>101</v>
      </c>
      <c r="D4" s="3" t="s">
        <v>432</v>
      </c>
      <c r="E4" s="3">
        <v>14</v>
      </c>
      <c r="F4" s="5">
        <f t="shared" si="0"/>
        <v>14</v>
      </c>
      <c r="G4" s="3">
        <v>0</v>
      </c>
      <c r="H4" s="5">
        <f t="shared" si="1"/>
        <v>0</v>
      </c>
      <c r="I4" s="3">
        <v>0</v>
      </c>
      <c r="J4" s="5">
        <f t="shared" si="2"/>
        <v>0</v>
      </c>
      <c r="K4" s="3">
        <v>24</v>
      </c>
      <c r="L4" s="5">
        <f t="shared" si="3"/>
        <v>24</v>
      </c>
      <c r="M4" s="3">
        <v>11</v>
      </c>
      <c r="N4" s="5">
        <f t="shared" si="4"/>
        <v>11</v>
      </c>
      <c r="O4" s="3" t="s">
        <v>257</v>
      </c>
      <c r="P4" s="3" t="s">
        <v>257</v>
      </c>
      <c r="Q4" s="3" t="s">
        <v>257</v>
      </c>
      <c r="R4" s="3" t="s">
        <v>262</v>
      </c>
      <c r="S4" s="3" t="s">
        <v>257</v>
      </c>
      <c r="T4" s="3" t="s">
        <v>257</v>
      </c>
      <c r="U4" s="3" t="s">
        <v>262</v>
      </c>
      <c r="V4" s="3" t="s">
        <v>262</v>
      </c>
      <c r="W4" s="3" t="s">
        <v>262</v>
      </c>
      <c r="X4" s="3" t="s">
        <v>262</v>
      </c>
      <c r="Y4" s="3" t="s">
        <v>262</v>
      </c>
      <c r="Z4" s="3" t="s">
        <v>262</v>
      </c>
      <c r="AA4" s="3" t="s">
        <v>262</v>
      </c>
      <c r="AB4" s="3" t="s">
        <v>262</v>
      </c>
      <c r="AC4" s="3" t="s">
        <v>262</v>
      </c>
      <c r="AD4" s="3" t="s">
        <v>262</v>
      </c>
      <c r="AE4" s="3" t="s">
        <v>262</v>
      </c>
      <c r="AF4" s="3" t="s">
        <v>257</v>
      </c>
      <c r="AG4" s="3" t="s">
        <v>262</v>
      </c>
      <c r="AH4" s="3" t="s">
        <v>257</v>
      </c>
      <c r="AI4" s="3" t="s">
        <v>262</v>
      </c>
      <c r="AJ4" s="3" t="s">
        <v>257</v>
      </c>
      <c r="AK4" s="3" t="s">
        <v>430</v>
      </c>
      <c r="AL4" s="3" t="s">
        <v>431</v>
      </c>
      <c r="AM4" s="3" t="s">
        <v>430</v>
      </c>
      <c r="AN4" s="3" t="s">
        <v>430</v>
      </c>
      <c r="AO4" s="3" t="s">
        <v>430</v>
      </c>
      <c r="AP4" s="3" t="s">
        <v>430</v>
      </c>
      <c r="AQ4" s="3" t="s">
        <v>430</v>
      </c>
      <c r="AR4" s="3" t="s">
        <v>430</v>
      </c>
      <c r="AS4" s="3" t="s">
        <v>430</v>
      </c>
      <c r="AT4" s="3" t="s">
        <v>430</v>
      </c>
      <c r="AU4" s="3" t="s">
        <v>430</v>
      </c>
      <c r="AV4" s="3" t="s">
        <v>430</v>
      </c>
      <c r="AW4" s="3" t="s">
        <v>430</v>
      </c>
      <c r="AX4" s="3" t="s">
        <v>431</v>
      </c>
      <c r="AY4" s="3" t="s">
        <v>431</v>
      </c>
      <c r="AZ4" s="3" t="s">
        <v>431</v>
      </c>
      <c r="BA4" s="3" t="s">
        <v>430</v>
      </c>
      <c r="BB4" s="3" t="s">
        <v>430</v>
      </c>
      <c r="BC4" s="3" t="s">
        <v>430</v>
      </c>
      <c r="BD4" s="3" t="s">
        <v>430</v>
      </c>
      <c r="BE4" s="3" t="s">
        <v>430</v>
      </c>
      <c r="BF4" s="3" t="s">
        <v>430</v>
      </c>
      <c r="BG4" s="3" t="s">
        <v>430</v>
      </c>
      <c r="BH4" s="3" t="s">
        <v>430</v>
      </c>
      <c r="BI4" s="3" t="s">
        <v>431</v>
      </c>
      <c r="BJ4" s="3" t="s">
        <v>430</v>
      </c>
      <c r="BK4" s="3" t="s">
        <v>431</v>
      </c>
      <c r="BL4" s="3" t="s">
        <v>430</v>
      </c>
      <c r="BM4" s="3" t="s">
        <v>431</v>
      </c>
      <c r="BN4" s="3" t="s">
        <v>430</v>
      </c>
      <c r="BO4" s="3" t="s">
        <v>430</v>
      </c>
      <c r="BP4" s="3" t="s">
        <v>430</v>
      </c>
      <c r="BQ4" s="3" t="s">
        <v>431</v>
      </c>
      <c r="BR4" s="3" t="s">
        <v>431</v>
      </c>
      <c r="BS4" s="3" t="s">
        <v>430</v>
      </c>
      <c r="BT4" s="3" t="s">
        <v>430</v>
      </c>
      <c r="BU4" s="3" t="s">
        <v>430</v>
      </c>
      <c r="BV4" s="3" t="s">
        <v>430</v>
      </c>
      <c r="BW4" s="3" t="s">
        <v>430</v>
      </c>
      <c r="BX4" s="3" t="s">
        <v>430</v>
      </c>
      <c r="BY4" s="3" t="s">
        <v>431</v>
      </c>
      <c r="BZ4" s="3" t="s">
        <v>430</v>
      </c>
      <c r="CA4" s="3" t="s">
        <v>430</v>
      </c>
      <c r="CB4" s="3" t="s">
        <v>430</v>
      </c>
      <c r="CC4" s="3" t="s">
        <v>430</v>
      </c>
      <c r="CD4" s="3" t="s">
        <v>431</v>
      </c>
      <c r="CE4" s="3" t="s">
        <v>430</v>
      </c>
      <c r="CF4" s="3" t="s">
        <v>430</v>
      </c>
      <c r="CG4" s="3" t="s">
        <v>430</v>
      </c>
      <c r="CH4" s="3" t="s">
        <v>430</v>
      </c>
      <c r="CI4" s="3" t="s">
        <v>430</v>
      </c>
      <c r="CJ4" s="3" t="s">
        <v>430</v>
      </c>
      <c r="CK4" s="3" t="s">
        <v>430</v>
      </c>
      <c r="CL4" s="3" t="s">
        <v>430</v>
      </c>
      <c r="CM4" s="3" t="s">
        <v>431</v>
      </c>
      <c r="CN4" s="3" t="s">
        <v>431</v>
      </c>
      <c r="CO4" s="3" t="s">
        <v>431</v>
      </c>
      <c r="CP4" s="3" t="s">
        <v>431</v>
      </c>
      <c r="CQ4" s="3" t="s">
        <v>430</v>
      </c>
      <c r="CR4" s="3" t="s">
        <v>431</v>
      </c>
      <c r="CS4" s="3" t="s">
        <v>431</v>
      </c>
      <c r="CT4" s="3" t="s">
        <v>431</v>
      </c>
      <c r="CU4" s="3" t="s">
        <v>431</v>
      </c>
      <c r="CV4" s="3" t="s">
        <v>431</v>
      </c>
      <c r="CW4" s="3" t="s">
        <v>430</v>
      </c>
      <c r="CX4" s="3" t="s">
        <v>430</v>
      </c>
      <c r="CY4" s="3" t="s">
        <v>430</v>
      </c>
      <c r="CZ4" s="3" t="s">
        <v>430</v>
      </c>
      <c r="DA4" s="3" t="s">
        <v>431</v>
      </c>
      <c r="DB4" s="3" t="s">
        <v>431</v>
      </c>
      <c r="DC4" s="3" t="s">
        <v>431</v>
      </c>
      <c r="DD4" s="3" t="s">
        <v>431</v>
      </c>
    </row>
    <row r="5" spans="1:108" x14ac:dyDescent="0.3">
      <c r="A5" s="3" t="s">
        <v>31</v>
      </c>
      <c r="B5" s="3">
        <v>2019</v>
      </c>
      <c r="C5" s="3">
        <v>1087</v>
      </c>
      <c r="D5" s="3" t="s">
        <v>433</v>
      </c>
      <c r="E5" s="3">
        <v>17</v>
      </c>
      <c r="F5" s="5">
        <f t="shared" si="0"/>
        <v>17</v>
      </c>
      <c r="G5" s="3">
        <v>1</v>
      </c>
      <c r="H5" s="5">
        <f t="shared" si="1"/>
        <v>1</v>
      </c>
      <c r="I5" s="3">
        <v>1</v>
      </c>
      <c r="J5" s="5">
        <f t="shared" si="2"/>
        <v>1</v>
      </c>
      <c r="K5" s="3">
        <v>36</v>
      </c>
      <c r="L5" s="5">
        <f t="shared" si="3"/>
        <v>36</v>
      </c>
      <c r="M5" s="3">
        <v>22</v>
      </c>
      <c r="N5" s="5">
        <f t="shared" si="4"/>
        <v>22</v>
      </c>
      <c r="O5" s="3" t="s">
        <v>262</v>
      </c>
      <c r="P5" s="3" t="s">
        <v>262</v>
      </c>
      <c r="Q5" s="3" t="s">
        <v>262</v>
      </c>
      <c r="R5" s="3" t="s">
        <v>262</v>
      </c>
      <c r="S5" s="3" t="s">
        <v>262</v>
      </c>
      <c r="T5" s="3" t="s">
        <v>262</v>
      </c>
      <c r="U5" s="3" t="s">
        <v>262</v>
      </c>
      <c r="V5" s="3" t="s">
        <v>262</v>
      </c>
      <c r="W5" s="3" t="s">
        <v>262</v>
      </c>
      <c r="X5" s="3" t="s">
        <v>262</v>
      </c>
      <c r="Y5" s="3" t="s">
        <v>283</v>
      </c>
      <c r="Z5" s="3" t="s">
        <v>262</v>
      </c>
      <c r="AA5" s="3" t="s">
        <v>262</v>
      </c>
      <c r="AB5" s="3" t="s">
        <v>262</v>
      </c>
      <c r="AC5" s="3" t="s">
        <v>262</v>
      </c>
      <c r="AD5" s="3" t="s">
        <v>262</v>
      </c>
      <c r="AE5" s="3" t="s">
        <v>257</v>
      </c>
      <c r="AF5" s="3" t="s">
        <v>262</v>
      </c>
      <c r="AG5" s="3" t="s">
        <v>269</v>
      </c>
      <c r="AH5" s="3" t="s">
        <v>262</v>
      </c>
      <c r="AI5" s="3" t="s">
        <v>257</v>
      </c>
      <c r="AJ5" s="3" t="s">
        <v>257</v>
      </c>
      <c r="AK5" s="3" t="s">
        <v>430</v>
      </c>
      <c r="AL5" s="3" t="s">
        <v>431</v>
      </c>
      <c r="AM5" s="3" t="s">
        <v>430</v>
      </c>
      <c r="AN5" s="3" t="s">
        <v>431</v>
      </c>
      <c r="AO5" s="3" t="s">
        <v>431</v>
      </c>
      <c r="AP5" s="3" t="s">
        <v>430</v>
      </c>
      <c r="AQ5" s="3" t="s">
        <v>430</v>
      </c>
      <c r="AR5" s="3" t="s">
        <v>431</v>
      </c>
      <c r="AS5" s="3" t="s">
        <v>430</v>
      </c>
      <c r="AT5" s="3" t="s">
        <v>430</v>
      </c>
      <c r="AU5" s="3" t="s">
        <v>431</v>
      </c>
      <c r="AV5" s="3" t="s">
        <v>430</v>
      </c>
      <c r="AW5" s="3" t="s">
        <v>430</v>
      </c>
      <c r="AX5" s="3" t="s">
        <v>431</v>
      </c>
      <c r="AY5" s="3" t="s">
        <v>431</v>
      </c>
      <c r="AZ5" s="3" t="s">
        <v>431</v>
      </c>
      <c r="BA5" s="3" t="s">
        <v>430</v>
      </c>
      <c r="BB5" s="3" t="s">
        <v>430</v>
      </c>
      <c r="BC5" s="3" t="s">
        <v>431</v>
      </c>
      <c r="BD5" s="3" t="s">
        <v>430</v>
      </c>
      <c r="BE5" s="3" t="s">
        <v>430</v>
      </c>
      <c r="BF5" s="3" t="s">
        <v>430</v>
      </c>
      <c r="BG5" s="3" t="s">
        <v>430</v>
      </c>
      <c r="BH5" s="3" t="s">
        <v>430</v>
      </c>
      <c r="BI5" s="3" t="s">
        <v>430</v>
      </c>
      <c r="BJ5" s="3" t="s">
        <v>431</v>
      </c>
      <c r="BK5" s="3" t="s">
        <v>431</v>
      </c>
      <c r="BL5" s="3" t="s">
        <v>430</v>
      </c>
      <c r="BM5" s="3" t="s">
        <v>431</v>
      </c>
      <c r="BN5" s="3" t="s">
        <v>430</v>
      </c>
      <c r="BO5" s="3" t="s">
        <v>430</v>
      </c>
      <c r="BP5" s="3" t="s">
        <v>431</v>
      </c>
      <c r="BQ5" s="3" t="s">
        <v>431</v>
      </c>
      <c r="BR5" s="3" t="s">
        <v>431</v>
      </c>
      <c r="BS5" s="3" t="s">
        <v>430</v>
      </c>
      <c r="BT5" s="3" t="s">
        <v>430</v>
      </c>
      <c r="BU5" s="3" t="s">
        <v>431</v>
      </c>
      <c r="BV5" s="3" t="s">
        <v>431</v>
      </c>
      <c r="BW5" s="3" t="s">
        <v>431</v>
      </c>
      <c r="BX5" s="3" t="s">
        <v>430</v>
      </c>
      <c r="BY5" s="3" t="s">
        <v>430</v>
      </c>
      <c r="BZ5" s="3" t="s">
        <v>431</v>
      </c>
      <c r="CA5" s="3" t="s">
        <v>431</v>
      </c>
      <c r="CB5" s="3" t="s">
        <v>430</v>
      </c>
      <c r="CC5" s="3" t="s">
        <v>430</v>
      </c>
      <c r="CD5" s="3" t="s">
        <v>430</v>
      </c>
      <c r="CE5" s="3" t="s">
        <v>430</v>
      </c>
      <c r="CF5" s="3" t="s">
        <v>430</v>
      </c>
      <c r="CG5" s="3" t="s">
        <v>430</v>
      </c>
      <c r="CH5" s="3" t="s">
        <v>430</v>
      </c>
      <c r="CI5" s="3" t="s">
        <v>430</v>
      </c>
      <c r="CJ5" s="3" t="s">
        <v>431</v>
      </c>
      <c r="CK5" s="3" t="s">
        <v>430</v>
      </c>
      <c r="CL5" s="3" t="s">
        <v>431</v>
      </c>
      <c r="CM5" s="3" t="s">
        <v>431</v>
      </c>
      <c r="CN5" s="3" t="s">
        <v>431</v>
      </c>
      <c r="CO5" s="3" t="s">
        <v>431</v>
      </c>
      <c r="CP5" s="3" t="s">
        <v>431</v>
      </c>
      <c r="CQ5" s="3" t="s">
        <v>430</v>
      </c>
      <c r="CR5" s="3" t="s">
        <v>431</v>
      </c>
      <c r="CS5" s="3" t="s">
        <v>431</v>
      </c>
      <c r="CT5" s="3" t="s">
        <v>431</v>
      </c>
      <c r="CU5" s="3" t="s">
        <v>431</v>
      </c>
      <c r="CV5" s="3" t="s">
        <v>431</v>
      </c>
      <c r="CW5" s="3" t="s">
        <v>430</v>
      </c>
      <c r="CX5" s="3" t="s">
        <v>430</v>
      </c>
      <c r="CY5" s="3" t="s">
        <v>431</v>
      </c>
      <c r="CZ5" s="3" t="s">
        <v>430</v>
      </c>
      <c r="DA5" s="3" t="s">
        <v>431</v>
      </c>
      <c r="DB5" s="3" t="s">
        <v>431</v>
      </c>
      <c r="DC5" s="3" t="s">
        <v>431</v>
      </c>
      <c r="DD5" s="3" t="s">
        <v>431</v>
      </c>
    </row>
    <row r="6" spans="1:108" x14ac:dyDescent="0.3">
      <c r="A6" s="3" t="s">
        <v>32</v>
      </c>
      <c r="B6" s="3">
        <v>2019</v>
      </c>
      <c r="C6" s="3">
        <v>38</v>
      </c>
      <c r="D6" s="3" t="s">
        <v>434</v>
      </c>
      <c r="E6" s="3">
        <v>21</v>
      </c>
      <c r="F6" s="5">
        <f t="shared" si="0"/>
        <v>21</v>
      </c>
      <c r="G6" s="3">
        <v>0</v>
      </c>
      <c r="H6" s="5">
        <f t="shared" si="1"/>
        <v>0</v>
      </c>
      <c r="I6" s="3">
        <v>0</v>
      </c>
      <c r="J6" s="5">
        <f t="shared" si="2"/>
        <v>0</v>
      </c>
      <c r="K6" s="3">
        <v>38</v>
      </c>
      <c r="L6" s="5">
        <f t="shared" si="3"/>
        <v>38</v>
      </c>
      <c r="M6" s="3">
        <v>25</v>
      </c>
      <c r="N6" s="5">
        <f t="shared" si="4"/>
        <v>25</v>
      </c>
      <c r="O6" s="3" t="s">
        <v>262</v>
      </c>
      <c r="P6" s="3" t="s">
        <v>262</v>
      </c>
      <c r="Q6" s="3" t="s">
        <v>262</v>
      </c>
      <c r="R6" s="3" t="s">
        <v>262</v>
      </c>
      <c r="S6" s="3" t="s">
        <v>262</v>
      </c>
      <c r="T6" s="3" t="s">
        <v>262</v>
      </c>
      <c r="U6" s="3" t="s">
        <v>262</v>
      </c>
      <c r="V6" s="3" t="s">
        <v>262</v>
      </c>
      <c r="W6" s="3" t="s">
        <v>262</v>
      </c>
      <c r="X6" s="3" t="s">
        <v>262</v>
      </c>
      <c r="Y6" s="3" t="s">
        <v>262</v>
      </c>
      <c r="Z6" s="3" t="s">
        <v>262</v>
      </c>
      <c r="AA6" s="3" t="s">
        <v>262</v>
      </c>
      <c r="AB6" s="3" t="s">
        <v>262</v>
      </c>
      <c r="AC6" s="3" t="s">
        <v>262</v>
      </c>
      <c r="AD6" s="3" t="s">
        <v>262</v>
      </c>
      <c r="AE6" s="3" t="s">
        <v>262</v>
      </c>
      <c r="AF6" s="3" t="s">
        <v>262</v>
      </c>
      <c r="AG6" s="3" t="s">
        <v>262</v>
      </c>
      <c r="AH6" s="3" t="s">
        <v>262</v>
      </c>
      <c r="AI6" s="3" t="s">
        <v>262</v>
      </c>
      <c r="AJ6" s="3" t="s">
        <v>257</v>
      </c>
      <c r="AK6" s="3" t="s">
        <v>430</v>
      </c>
      <c r="AL6" s="3" t="s">
        <v>431</v>
      </c>
      <c r="AM6" s="3" t="s">
        <v>430</v>
      </c>
      <c r="AN6" s="3" t="s">
        <v>430</v>
      </c>
      <c r="AO6" s="3" t="s">
        <v>431</v>
      </c>
      <c r="AP6" s="3" t="s">
        <v>431</v>
      </c>
      <c r="AQ6" s="3" t="s">
        <v>431</v>
      </c>
      <c r="AR6" s="3" t="s">
        <v>431</v>
      </c>
      <c r="AS6" s="3" t="s">
        <v>431</v>
      </c>
      <c r="AT6" s="3" t="s">
        <v>430</v>
      </c>
      <c r="AU6" s="3" t="s">
        <v>430</v>
      </c>
      <c r="AV6" s="3" t="s">
        <v>430</v>
      </c>
      <c r="AW6" s="3" t="s">
        <v>431</v>
      </c>
      <c r="AX6" s="3" t="s">
        <v>431</v>
      </c>
      <c r="AY6" s="3" t="s">
        <v>430</v>
      </c>
      <c r="AZ6" s="3" t="s">
        <v>431</v>
      </c>
      <c r="BA6" s="3" t="s">
        <v>430</v>
      </c>
      <c r="BB6" s="3" t="s">
        <v>430</v>
      </c>
      <c r="BC6" s="3" t="s">
        <v>431</v>
      </c>
      <c r="BD6" s="3" t="s">
        <v>430</v>
      </c>
      <c r="BE6" s="3" t="s">
        <v>430</v>
      </c>
      <c r="BF6" s="3" t="s">
        <v>430</v>
      </c>
      <c r="BG6" s="3" t="s">
        <v>430</v>
      </c>
      <c r="BH6" s="3" t="s">
        <v>430</v>
      </c>
      <c r="BI6" s="3" t="s">
        <v>431</v>
      </c>
      <c r="BJ6" s="3" t="s">
        <v>431</v>
      </c>
      <c r="BK6" s="3" t="s">
        <v>431</v>
      </c>
      <c r="BL6" s="3" t="s">
        <v>430</v>
      </c>
      <c r="BM6" s="3" t="s">
        <v>431</v>
      </c>
      <c r="BN6" s="3" t="s">
        <v>430</v>
      </c>
      <c r="BO6" s="3" t="s">
        <v>431</v>
      </c>
      <c r="BP6" s="3" t="s">
        <v>431</v>
      </c>
      <c r="BQ6" s="3" t="s">
        <v>431</v>
      </c>
      <c r="BR6" s="3" t="s">
        <v>431</v>
      </c>
      <c r="BS6" s="3" t="s">
        <v>430</v>
      </c>
      <c r="BT6" s="3" t="s">
        <v>430</v>
      </c>
      <c r="BU6" s="3" t="s">
        <v>430</v>
      </c>
      <c r="BV6" s="3" t="s">
        <v>430</v>
      </c>
      <c r="BW6" s="3" t="s">
        <v>430</v>
      </c>
      <c r="BX6" s="3" t="s">
        <v>431</v>
      </c>
      <c r="BY6" s="3" t="s">
        <v>431</v>
      </c>
      <c r="BZ6" s="3" t="s">
        <v>431</v>
      </c>
      <c r="CA6" s="3" t="s">
        <v>431</v>
      </c>
      <c r="CB6" s="3" t="s">
        <v>430</v>
      </c>
      <c r="CC6" s="3" t="s">
        <v>430</v>
      </c>
      <c r="CD6" s="3" t="s">
        <v>430</v>
      </c>
      <c r="CE6" s="3" t="s">
        <v>430</v>
      </c>
      <c r="CF6" s="3" t="s">
        <v>430</v>
      </c>
      <c r="CG6" s="3" t="s">
        <v>430</v>
      </c>
      <c r="CH6" s="3" t="s">
        <v>430</v>
      </c>
      <c r="CI6" s="3" t="s">
        <v>430</v>
      </c>
      <c r="CJ6" s="3" t="s">
        <v>431</v>
      </c>
      <c r="CK6" s="3" t="s">
        <v>431</v>
      </c>
      <c r="CL6" s="3" t="s">
        <v>431</v>
      </c>
      <c r="CM6" s="3" t="s">
        <v>431</v>
      </c>
      <c r="CN6" s="3" t="s">
        <v>431</v>
      </c>
      <c r="CO6" s="3" t="s">
        <v>431</v>
      </c>
      <c r="CP6" s="3" t="s">
        <v>431</v>
      </c>
      <c r="CQ6" s="3" t="s">
        <v>430</v>
      </c>
      <c r="CR6" s="3" t="s">
        <v>431</v>
      </c>
      <c r="CS6" s="3" t="s">
        <v>431</v>
      </c>
      <c r="CT6" s="3" t="s">
        <v>431</v>
      </c>
      <c r="CU6" s="3" t="s">
        <v>431</v>
      </c>
      <c r="CV6" s="3" t="s">
        <v>431</v>
      </c>
      <c r="CW6" s="3" t="s">
        <v>430</v>
      </c>
      <c r="CX6" s="3" t="s">
        <v>430</v>
      </c>
      <c r="CY6" s="3" t="s">
        <v>430</v>
      </c>
      <c r="CZ6" s="3" t="s">
        <v>430</v>
      </c>
      <c r="DA6" s="3" t="s">
        <v>431</v>
      </c>
      <c r="DB6" s="3" t="s">
        <v>431</v>
      </c>
      <c r="DC6" s="3" t="s">
        <v>431</v>
      </c>
      <c r="DD6" s="3" t="s">
        <v>431</v>
      </c>
    </row>
    <row r="7" spans="1:108" x14ac:dyDescent="0.3">
      <c r="A7" s="3" t="s">
        <v>33</v>
      </c>
      <c r="B7" s="3">
        <v>2019</v>
      </c>
      <c r="C7" s="3">
        <v>101</v>
      </c>
      <c r="D7" s="3" t="s">
        <v>435</v>
      </c>
      <c r="E7" s="3">
        <v>16</v>
      </c>
      <c r="F7" s="5">
        <f t="shared" si="0"/>
        <v>16</v>
      </c>
      <c r="G7" s="3">
        <v>0</v>
      </c>
      <c r="H7" s="5">
        <f t="shared" si="1"/>
        <v>0</v>
      </c>
      <c r="I7" s="3">
        <v>0</v>
      </c>
      <c r="J7" s="5">
        <f t="shared" si="2"/>
        <v>0</v>
      </c>
      <c r="K7" s="3">
        <v>28</v>
      </c>
      <c r="L7" s="5">
        <f t="shared" si="3"/>
        <v>28</v>
      </c>
      <c r="M7" s="3">
        <v>15</v>
      </c>
      <c r="N7" s="5">
        <f t="shared" si="4"/>
        <v>15</v>
      </c>
      <c r="O7" s="3" t="s">
        <v>257</v>
      </c>
      <c r="P7" s="3" t="s">
        <v>257</v>
      </c>
      <c r="Q7" s="3" t="s">
        <v>257</v>
      </c>
      <c r="R7" s="3" t="s">
        <v>262</v>
      </c>
      <c r="S7" s="3" t="s">
        <v>257</v>
      </c>
      <c r="T7" s="3" t="s">
        <v>257</v>
      </c>
      <c r="U7" s="3" t="s">
        <v>262</v>
      </c>
      <c r="V7" s="3" t="s">
        <v>262</v>
      </c>
      <c r="W7" s="3" t="s">
        <v>262</v>
      </c>
      <c r="X7" s="3" t="s">
        <v>262</v>
      </c>
      <c r="Y7" s="3" t="s">
        <v>262</v>
      </c>
      <c r="Z7" s="3" t="s">
        <v>262</v>
      </c>
      <c r="AA7" s="3" t="s">
        <v>262</v>
      </c>
      <c r="AB7" s="3" t="s">
        <v>262</v>
      </c>
      <c r="AC7" s="3" t="s">
        <v>262</v>
      </c>
      <c r="AD7" s="3" t="s">
        <v>262</v>
      </c>
      <c r="AE7" s="3" t="s">
        <v>262</v>
      </c>
      <c r="AF7" s="3" t="s">
        <v>262</v>
      </c>
      <c r="AG7" s="3" t="s">
        <v>262</v>
      </c>
      <c r="AH7" s="3" t="s">
        <v>262</v>
      </c>
      <c r="AI7" s="3" t="s">
        <v>262</v>
      </c>
      <c r="AJ7" s="3" t="s">
        <v>257</v>
      </c>
      <c r="AK7" s="3" t="s">
        <v>430</v>
      </c>
      <c r="AL7" s="3" t="s">
        <v>431</v>
      </c>
      <c r="AM7" s="3" t="s">
        <v>431</v>
      </c>
      <c r="AN7" s="3" t="s">
        <v>430</v>
      </c>
      <c r="AO7" s="3" t="s">
        <v>430</v>
      </c>
      <c r="AP7" s="3" t="s">
        <v>431</v>
      </c>
      <c r="AQ7" s="3" t="s">
        <v>431</v>
      </c>
      <c r="AR7" s="3" t="s">
        <v>430</v>
      </c>
      <c r="AS7" s="3" t="s">
        <v>430</v>
      </c>
      <c r="AT7" s="3" t="s">
        <v>430</v>
      </c>
      <c r="AU7" s="3" t="s">
        <v>430</v>
      </c>
      <c r="AV7" s="3" t="s">
        <v>430</v>
      </c>
      <c r="AW7" s="3" t="s">
        <v>430</v>
      </c>
      <c r="AX7" s="3" t="s">
        <v>431</v>
      </c>
      <c r="AY7" s="3" t="s">
        <v>431</v>
      </c>
      <c r="AZ7" s="3" t="s">
        <v>431</v>
      </c>
      <c r="BA7" s="3" t="s">
        <v>430</v>
      </c>
      <c r="BB7" s="3" t="s">
        <v>430</v>
      </c>
      <c r="BC7" s="3" t="s">
        <v>430</v>
      </c>
      <c r="BD7" s="3" t="s">
        <v>430</v>
      </c>
      <c r="BE7" s="3" t="s">
        <v>430</v>
      </c>
      <c r="BF7" s="3" t="s">
        <v>430</v>
      </c>
      <c r="BG7" s="3" t="s">
        <v>430</v>
      </c>
      <c r="BH7" s="3" t="s">
        <v>430</v>
      </c>
      <c r="BI7" s="3" t="s">
        <v>431</v>
      </c>
      <c r="BJ7" s="3" t="s">
        <v>430</v>
      </c>
      <c r="BK7" s="3" t="s">
        <v>431</v>
      </c>
      <c r="BL7" s="3" t="s">
        <v>430</v>
      </c>
      <c r="BM7" s="3" t="s">
        <v>431</v>
      </c>
      <c r="BN7" s="3" t="s">
        <v>430</v>
      </c>
      <c r="BO7" s="3" t="s">
        <v>430</v>
      </c>
      <c r="BP7" s="3" t="s">
        <v>430</v>
      </c>
      <c r="BQ7" s="3" t="s">
        <v>431</v>
      </c>
      <c r="BR7" s="3" t="s">
        <v>431</v>
      </c>
      <c r="BS7" s="3" t="s">
        <v>430</v>
      </c>
      <c r="BT7" s="3" t="s">
        <v>430</v>
      </c>
      <c r="BU7" s="3" t="s">
        <v>430</v>
      </c>
      <c r="BV7" s="3" t="s">
        <v>430</v>
      </c>
      <c r="BW7" s="3" t="s">
        <v>430</v>
      </c>
      <c r="BX7" s="3" t="s">
        <v>430</v>
      </c>
      <c r="BY7" s="3" t="s">
        <v>431</v>
      </c>
      <c r="BZ7" s="3" t="s">
        <v>430</v>
      </c>
      <c r="CA7" s="3" t="s">
        <v>431</v>
      </c>
      <c r="CB7" s="3" t="s">
        <v>430</v>
      </c>
      <c r="CC7" s="3" t="s">
        <v>430</v>
      </c>
      <c r="CD7" s="3" t="s">
        <v>431</v>
      </c>
      <c r="CE7" s="3" t="s">
        <v>430</v>
      </c>
      <c r="CF7" s="3" t="s">
        <v>430</v>
      </c>
      <c r="CG7" s="3" t="s">
        <v>430</v>
      </c>
      <c r="CH7" s="3" t="s">
        <v>430</v>
      </c>
      <c r="CI7" s="3" t="s">
        <v>430</v>
      </c>
      <c r="CJ7" s="3" t="s">
        <v>430</v>
      </c>
      <c r="CK7" s="3" t="s">
        <v>430</v>
      </c>
      <c r="CL7" s="3" t="s">
        <v>430</v>
      </c>
      <c r="CM7" s="3" t="s">
        <v>431</v>
      </c>
      <c r="CN7" s="3" t="s">
        <v>431</v>
      </c>
      <c r="CO7" s="3" t="s">
        <v>431</v>
      </c>
      <c r="CP7" s="3" t="s">
        <v>431</v>
      </c>
      <c r="CQ7" s="3" t="s">
        <v>430</v>
      </c>
      <c r="CR7" s="3" t="s">
        <v>431</v>
      </c>
      <c r="CS7" s="3" t="s">
        <v>431</v>
      </c>
      <c r="CT7" s="3" t="s">
        <v>431</v>
      </c>
      <c r="CU7" s="3" t="s">
        <v>431</v>
      </c>
      <c r="CV7" s="3" t="s">
        <v>431</v>
      </c>
      <c r="CW7" s="3" t="s">
        <v>430</v>
      </c>
      <c r="CX7" s="3" t="s">
        <v>430</v>
      </c>
      <c r="CY7" s="3" t="s">
        <v>430</v>
      </c>
      <c r="CZ7" s="3" t="s">
        <v>430</v>
      </c>
      <c r="DA7" s="3" t="s">
        <v>431</v>
      </c>
      <c r="DB7" s="3" t="s">
        <v>431</v>
      </c>
      <c r="DC7" s="3" t="s">
        <v>431</v>
      </c>
      <c r="DD7" s="3" t="s">
        <v>431</v>
      </c>
    </row>
    <row r="8" spans="1:108" x14ac:dyDescent="0.3">
      <c r="A8" s="3" t="s">
        <v>34</v>
      </c>
      <c r="B8" s="3">
        <v>2019</v>
      </c>
      <c r="C8" s="3">
        <v>458</v>
      </c>
      <c r="D8" s="3" t="s">
        <v>434</v>
      </c>
      <c r="E8" s="3">
        <v>4</v>
      </c>
      <c r="F8" s="5">
        <f t="shared" si="0"/>
        <v>4</v>
      </c>
      <c r="G8" s="3">
        <v>1</v>
      </c>
      <c r="H8" s="5">
        <f t="shared" si="1"/>
        <v>1</v>
      </c>
      <c r="I8" s="3">
        <v>0</v>
      </c>
      <c r="J8" s="5">
        <f t="shared" si="2"/>
        <v>0</v>
      </c>
      <c r="K8" s="3">
        <v>19</v>
      </c>
      <c r="L8" s="5">
        <f t="shared" si="3"/>
        <v>19</v>
      </c>
      <c r="M8" s="3">
        <v>6</v>
      </c>
      <c r="N8" s="5">
        <f t="shared" si="4"/>
        <v>6</v>
      </c>
      <c r="O8" s="3" t="s">
        <v>257</v>
      </c>
      <c r="P8" s="3" t="s">
        <v>257</v>
      </c>
      <c r="Q8" s="3" t="s">
        <v>257</v>
      </c>
      <c r="R8" s="3" t="s">
        <v>257</v>
      </c>
      <c r="S8" s="3" t="s">
        <v>257</v>
      </c>
      <c r="T8" s="3" t="s">
        <v>257</v>
      </c>
      <c r="U8" s="3" t="s">
        <v>257</v>
      </c>
      <c r="V8" s="3" t="s">
        <v>262</v>
      </c>
      <c r="W8" s="3" t="s">
        <v>262</v>
      </c>
      <c r="X8" s="3" t="s">
        <v>257</v>
      </c>
      <c r="Y8" s="3" t="s">
        <v>257</v>
      </c>
      <c r="Z8" s="3" t="s">
        <v>257</v>
      </c>
      <c r="AA8" s="3" t="s">
        <v>257</v>
      </c>
      <c r="AB8" s="3" t="s">
        <v>257</v>
      </c>
      <c r="AC8" s="3" t="s">
        <v>257</v>
      </c>
      <c r="AD8" s="3" t="s">
        <v>257</v>
      </c>
      <c r="AE8" s="3" t="s">
        <v>257</v>
      </c>
      <c r="AF8" s="3" t="s">
        <v>257</v>
      </c>
      <c r="AG8" s="3" t="s">
        <v>262</v>
      </c>
      <c r="AH8" s="3" t="s">
        <v>262</v>
      </c>
      <c r="AI8" s="3" t="s">
        <v>257</v>
      </c>
      <c r="AJ8" s="3" t="s">
        <v>269</v>
      </c>
      <c r="AK8" s="3" t="s">
        <v>430</v>
      </c>
      <c r="AL8" s="3" t="s">
        <v>430</v>
      </c>
      <c r="AM8" s="3" t="s">
        <v>430</v>
      </c>
      <c r="AN8" s="3" t="s">
        <v>430</v>
      </c>
      <c r="AO8" s="3" t="s">
        <v>430</v>
      </c>
      <c r="AP8" s="3" t="s">
        <v>430</v>
      </c>
      <c r="AQ8" s="3" t="s">
        <v>430</v>
      </c>
      <c r="AR8" s="3" t="s">
        <v>430</v>
      </c>
      <c r="AS8" s="3" t="s">
        <v>430</v>
      </c>
      <c r="AT8" s="3" t="s">
        <v>431</v>
      </c>
      <c r="AU8" s="3" t="s">
        <v>430</v>
      </c>
      <c r="AV8" s="3" t="s">
        <v>430</v>
      </c>
      <c r="AW8" s="3" t="s">
        <v>430</v>
      </c>
      <c r="AX8" s="3" t="s">
        <v>431</v>
      </c>
      <c r="AY8" s="3" t="s">
        <v>431</v>
      </c>
      <c r="AZ8" s="3" t="s">
        <v>430</v>
      </c>
      <c r="BA8" s="3" t="s">
        <v>430</v>
      </c>
      <c r="BB8" s="3" t="s">
        <v>430</v>
      </c>
      <c r="BC8" s="3" t="s">
        <v>430</v>
      </c>
      <c r="BD8" s="3" t="s">
        <v>430</v>
      </c>
      <c r="BE8" s="3" t="s">
        <v>430</v>
      </c>
      <c r="BF8" s="3" t="s">
        <v>430</v>
      </c>
      <c r="BG8" s="3" t="s">
        <v>430</v>
      </c>
      <c r="BH8" s="3" t="s">
        <v>430</v>
      </c>
      <c r="BI8" s="3" t="s">
        <v>430</v>
      </c>
      <c r="BJ8" s="3" t="s">
        <v>430</v>
      </c>
      <c r="BK8" s="3" t="s">
        <v>430</v>
      </c>
      <c r="BL8" s="3" t="s">
        <v>430</v>
      </c>
      <c r="BM8" s="3" t="s">
        <v>431</v>
      </c>
      <c r="BN8" s="3" t="s">
        <v>430</v>
      </c>
      <c r="BO8" s="3" t="s">
        <v>430</v>
      </c>
      <c r="BP8" s="3" t="s">
        <v>430</v>
      </c>
      <c r="BQ8" s="3" t="s">
        <v>431</v>
      </c>
      <c r="BR8" s="3" t="s">
        <v>431</v>
      </c>
      <c r="BS8" s="3" t="s">
        <v>430</v>
      </c>
      <c r="BT8" s="3" t="s">
        <v>430</v>
      </c>
      <c r="BU8" s="3" t="s">
        <v>430</v>
      </c>
      <c r="BV8" s="3" t="s">
        <v>430</v>
      </c>
      <c r="BW8" s="3" t="s">
        <v>430</v>
      </c>
      <c r="BX8" s="3" t="s">
        <v>430</v>
      </c>
      <c r="BY8" s="3" t="s">
        <v>430</v>
      </c>
      <c r="BZ8" s="3" t="s">
        <v>430</v>
      </c>
      <c r="CA8" s="3" t="s">
        <v>430</v>
      </c>
      <c r="CB8" s="3" t="s">
        <v>430</v>
      </c>
      <c r="CC8" s="3" t="s">
        <v>430</v>
      </c>
      <c r="CD8" s="3" t="s">
        <v>430</v>
      </c>
      <c r="CE8" s="3" t="s">
        <v>430</v>
      </c>
      <c r="CF8" s="3" t="s">
        <v>430</v>
      </c>
      <c r="CG8" s="3" t="s">
        <v>430</v>
      </c>
      <c r="CH8" s="3" t="s">
        <v>430</v>
      </c>
      <c r="CI8" s="3" t="s">
        <v>430</v>
      </c>
      <c r="CJ8" s="3" t="s">
        <v>430</v>
      </c>
      <c r="CK8" s="3" t="s">
        <v>430</v>
      </c>
      <c r="CL8" s="3" t="s">
        <v>430</v>
      </c>
      <c r="CM8" s="3" t="s">
        <v>431</v>
      </c>
      <c r="CN8" s="3" t="s">
        <v>431</v>
      </c>
      <c r="CO8" s="3" t="s">
        <v>431</v>
      </c>
      <c r="CP8" s="3" t="s">
        <v>431</v>
      </c>
      <c r="CQ8" s="3" t="s">
        <v>430</v>
      </c>
      <c r="CR8" s="3" t="s">
        <v>431</v>
      </c>
      <c r="CS8" s="3" t="s">
        <v>431</v>
      </c>
      <c r="CT8" s="3" t="s">
        <v>431</v>
      </c>
      <c r="CU8" s="3" t="s">
        <v>431</v>
      </c>
      <c r="CV8" s="3" t="s">
        <v>431</v>
      </c>
      <c r="CW8" s="3" t="s">
        <v>430</v>
      </c>
      <c r="CX8" s="3" t="s">
        <v>430</v>
      </c>
      <c r="CY8" s="3" t="s">
        <v>430</v>
      </c>
      <c r="CZ8" s="3" t="s">
        <v>430</v>
      </c>
      <c r="DA8" s="3" t="s">
        <v>431</v>
      </c>
      <c r="DB8" s="3" t="s">
        <v>431</v>
      </c>
      <c r="DC8" s="3" t="s">
        <v>431</v>
      </c>
      <c r="DD8" s="3" t="s">
        <v>431</v>
      </c>
    </row>
    <row r="9" spans="1:108" x14ac:dyDescent="0.3">
      <c r="A9" s="3" t="s">
        <v>35</v>
      </c>
      <c r="B9" s="3">
        <v>2021</v>
      </c>
      <c r="C9" s="3">
        <v>231</v>
      </c>
      <c r="D9" s="3" t="s">
        <v>433</v>
      </c>
      <c r="E9" s="3">
        <v>21</v>
      </c>
      <c r="F9" s="5">
        <f t="shared" si="0"/>
        <v>21</v>
      </c>
      <c r="G9" s="3">
        <v>0</v>
      </c>
      <c r="H9" s="5">
        <f t="shared" si="1"/>
        <v>0</v>
      </c>
      <c r="I9" s="3">
        <v>0</v>
      </c>
      <c r="J9" s="5">
        <f t="shared" si="2"/>
        <v>0</v>
      </c>
      <c r="K9" s="3">
        <v>42</v>
      </c>
      <c r="L9" s="5">
        <f t="shared" si="3"/>
        <v>42</v>
      </c>
      <c r="M9" s="3">
        <v>27</v>
      </c>
      <c r="N9" s="5">
        <f t="shared" si="4"/>
        <v>27</v>
      </c>
      <c r="O9" s="3" t="s">
        <v>262</v>
      </c>
      <c r="P9" s="3" t="s">
        <v>262</v>
      </c>
      <c r="Q9" s="3" t="s">
        <v>262</v>
      </c>
      <c r="R9" s="3" t="s">
        <v>262</v>
      </c>
      <c r="S9" s="3" t="s">
        <v>262</v>
      </c>
      <c r="T9" s="3" t="s">
        <v>262</v>
      </c>
      <c r="U9" s="3" t="s">
        <v>262</v>
      </c>
      <c r="V9" s="3" t="s">
        <v>262</v>
      </c>
      <c r="W9" s="3" t="s">
        <v>262</v>
      </c>
      <c r="X9" s="3" t="s">
        <v>262</v>
      </c>
      <c r="Y9" s="3" t="s">
        <v>262</v>
      </c>
      <c r="Z9" s="3" t="s">
        <v>262</v>
      </c>
      <c r="AA9" s="3" t="s">
        <v>262</v>
      </c>
      <c r="AB9" s="3" t="s">
        <v>262</v>
      </c>
      <c r="AC9" s="3" t="s">
        <v>262</v>
      </c>
      <c r="AD9" s="3" t="s">
        <v>262</v>
      </c>
      <c r="AE9" s="3" t="s">
        <v>262</v>
      </c>
      <c r="AF9" s="3" t="s">
        <v>262</v>
      </c>
      <c r="AG9" s="3" t="s">
        <v>262</v>
      </c>
      <c r="AH9" s="3" t="s">
        <v>262</v>
      </c>
      <c r="AI9" s="3" t="s">
        <v>262</v>
      </c>
      <c r="AJ9" s="3" t="s">
        <v>257</v>
      </c>
      <c r="AK9" s="3" t="s">
        <v>431</v>
      </c>
      <c r="AL9" s="3" t="s">
        <v>431</v>
      </c>
      <c r="AM9" s="3" t="s">
        <v>430</v>
      </c>
      <c r="AN9" s="3" t="s">
        <v>431</v>
      </c>
      <c r="AO9" s="3" t="s">
        <v>430</v>
      </c>
      <c r="AP9" s="3" t="s">
        <v>431</v>
      </c>
      <c r="AQ9" s="3" t="s">
        <v>431</v>
      </c>
      <c r="AR9" s="3" t="s">
        <v>431</v>
      </c>
      <c r="AS9" s="3" t="s">
        <v>431</v>
      </c>
      <c r="AT9" s="3" t="s">
        <v>430</v>
      </c>
      <c r="AU9" s="3" t="s">
        <v>430</v>
      </c>
      <c r="AV9" s="3" t="s">
        <v>431</v>
      </c>
      <c r="AW9" s="3" t="s">
        <v>430</v>
      </c>
      <c r="AX9" s="3" t="s">
        <v>431</v>
      </c>
      <c r="AY9" s="3" t="s">
        <v>431</v>
      </c>
      <c r="AZ9" s="3" t="s">
        <v>431</v>
      </c>
      <c r="BA9" s="3" t="s">
        <v>430</v>
      </c>
      <c r="BB9" s="3" t="s">
        <v>430</v>
      </c>
      <c r="BC9" s="3" t="s">
        <v>430</v>
      </c>
      <c r="BD9" s="3" t="s">
        <v>430</v>
      </c>
      <c r="BE9" s="3" t="s">
        <v>430</v>
      </c>
      <c r="BF9" s="3" t="s">
        <v>430</v>
      </c>
      <c r="BG9" s="3" t="s">
        <v>430</v>
      </c>
      <c r="BH9" s="3" t="s">
        <v>430</v>
      </c>
      <c r="BI9" s="3" t="s">
        <v>431</v>
      </c>
      <c r="BJ9" s="3" t="s">
        <v>431</v>
      </c>
      <c r="BK9" s="3" t="s">
        <v>431</v>
      </c>
      <c r="BL9" s="3" t="s">
        <v>430</v>
      </c>
      <c r="BM9" s="3" t="s">
        <v>431</v>
      </c>
      <c r="BN9" s="3" t="s">
        <v>430</v>
      </c>
      <c r="BO9" s="3" t="s">
        <v>431</v>
      </c>
      <c r="BP9" s="3" t="s">
        <v>430</v>
      </c>
      <c r="BQ9" s="3" t="s">
        <v>431</v>
      </c>
      <c r="BR9" s="3" t="s">
        <v>431</v>
      </c>
      <c r="BS9" s="3" t="s">
        <v>431</v>
      </c>
      <c r="BT9" s="3" t="s">
        <v>430</v>
      </c>
      <c r="BU9" s="3" t="s">
        <v>430</v>
      </c>
      <c r="BV9" s="3" t="s">
        <v>430</v>
      </c>
      <c r="BW9" s="3" t="s">
        <v>430</v>
      </c>
      <c r="BX9" s="3" t="s">
        <v>431</v>
      </c>
      <c r="BY9" s="3" t="s">
        <v>431</v>
      </c>
      <c r="BZ9" s="3" t="s">
        <v>431</v>
      </c>
      <c r="CA9" s="3" t="s">
        <v>431</v>
      </c>
      <c r="CB9" s="3" t="s">
        <v>430</v>
      </c>
      <c r="CC9" s="3" t="s">
        <v>431</v>
      </c>
      <c r="CD9" s="3" t="s">
        <v>430</v>
      </c>
      <c r="CE9" s="3" t="s">
        <v>430</v>
      </c>
      <c r="CF9" s="3" t="s">
        <v>431</v>
      </c>
      <c r="CG9" s="3" t="s">
        <v>430</v>
      </c>
      <c r="CH9" s="3" t="s">
        <v>430</v>
      </c>
      <c r="CI9" s="3" t="s">
        <v>430</v>
      </c>
      <c r="CJ9" s="3" t="s">
        <v>431</v>
      </c>
      <c r="CK9" s="3" t="s">
        <v>430</v>
      </c>
      <c r="CL9" s="3" t="s">
        <v>431</v>
      </c>
      <c r="CM9" s="3" t="s">
        <v>431</v>
      </c>
      <c r="CN9" s="3" t="s">
        <v>431</v>
      </c>
      <c r="CO9" s="3" t="s">
        <v>431</v>
      </c>
      <c r="CP9" s="3" t="s">
        <v>431</v>
      </c>
      <c r="CQ9" s="3" t="s">
        <v>430</v>
      </c>
      <c r="CR9" s="3" t="s">
        <v>431</v>
      </c>
      <c r="CS9" s="3" t="s">
        <v>431</v>
      </c>
      <c r="CT9" s="3" t="s">
        <v>431</v>
      </c>
      <c r="CU9" s="3" t="s">
        <v>431</v>
      </c>
      <c r="CV9" s="3" t="s">
        <v>431</v>
      </c>
      <c r="CW9" s="3" t="s">
        <v>430</v>
      </c>
      <c r="CX9" s="3" t="s">
        <v>431</v>
      </c>
      <c r="CY9" s="3" t="s">
        <v>430</v>
      </c>
      <c r="CZ9" s="3" t="s">
        <v>431</v>
      </c>
      <c r="DA9" s="3" t="s">
        <v>431</v>
      </c>
      <c r="DB9" s="3" t="s">
        <v>431</v>
      </c>
      <c r="DC9" s="3" t="s">
        <v>431</v>
      </c>
      <c r="DD9" s="3" t="s">
        <v>431</v>
      </c>
    </row>
    <row r="10" spans="1:108" x14ac:dyDescent="0.3">
      <c r="A10" s="3" t="s">
        <v>36</v>
      </c>
      <c r="B10" s="3">
        <v>2021</v>
      </c>
      <c r="C10" s="3">
        <v>6118</v>
      </c>
      <c r="D10" s="3" t="s">
        <v>434</v>
      </c>
      <c r="E10" s="3">
        <v>18</v>
      </c>
      <c r="F10" s="5">
        <f t="shared" si="0"/>
        <v>18</v>
      </c>
      <c r="G10" s="3">
        <v>3</v>
      </c>
      <c r="H10" s="5">
        <f t="shared" si="1"/>
        <v>3</v>
      </c>
      <c r="I10" s="3">
        <v>0</v>
      </c>
      <c r="J10" s="5">
        <f t="shared" si="2"/>
        <v>0</v>
      </c>
      <c r="K10" s="3">
        <v>43</v>
      </c>
      <c r="L10" s="5">
        <f t="shared" si="3"/>
        <v>43</v>
      </c>
      <c r="M10" s="3">
        <v>30</v>
      </c>
      <c r="N10" s="5">
        <f t="shared" si="4"/>
        <v>30</v>
      </c>
      <c r="O10" s="3" t="s">
        <v>269</v>
      </c>
      <c r="P10" s="3" t="s">
        <v>262</v>
      </c>
      <c r="Q10" s="3" t="s">
        <v>262</v>
      </c>
      <c r="R10" s="3" t="s">
        <v>262</v>
      </c>
      <c r="S10" s="3" t="s">
        <v>262</v>
      </c>
      <c r="T10" s="3" t="s">
        <v>262</v>
      </c>
      <c r="U10" s="3" t="s">
        <v>262</v>
      </c>
      <c r="V10" s="3" t="s">
        <v>262</v>
      </c>
      <c r="W10" s="3" t="s">
        <v>262</v>
      </c>
      <c r="X10" s="3" t="s">
        <v>262</v>
      </c>
      <c r="Y10" s="3" t="s">
        <v>262</v>
      </c>
      <c r="Z10" s="3" t="s">
        <v>262</v>
      </c>
      <c r="AA10" s="3" t="s">
        <v>262</v>
      </c>
      <c r="AB10" s="3" t="s">
        <v>262</v>
      </c>
      <c r="AC10" s="3" t="s">
        <v>262</v>
      </c>
      <c r="AD10" s="3" t="s">
        <v>262</v>
      </c>
      <c r="AE10" s="3" t="s">
        <v>269</v>
      </c>
      <c r="AF10" s="3" t="s">
        <v>262</v>
      </c>
      <c r="AG10" s="3" t="s">
        <v>262</v>
      </c>
      <c r="AH10" s="3" t="s">
        <v>262</v>
      </c>
      <c r="AI10" s="3" t="s">
        <v>269</v>
      </c>
      <c r="AJ10" s="3" t="s">
        <v>257</v>
      </c>
      <c r="AK10" s="3" t="s">
        <v>430</v>
      </c>
      <c r="AL10" s="3" t="s">
        <v>431</v>
      </c>
      <c r="AM10" s="3" t="s">
        <v>430</v>
      </c>
      <c r="AN10" s="3" t="s">
        <v>431</v>
      </c>
      <c r="AO10" s="3" t="s">
        <v>431</v>
      </c>
      <c r="AP10" s="3" t="s">
        <v>431</v>
      </c>
      <c r="AQ10" s="3" t="s">
        <v>431</v>
      </c>
      <c r="AR10" s="3" t="s">
        <v>431</v>
      </c>
      <c r="AS10" s="3" t="s">
        <v>430</v>
      </c>
      <c r="AT10" s="3" t="s">
        <v>430</v>
      </c>
      <c r="AU10" s="3" t="s">
        <v>431</v>
      </c>
      <c r="AV10" s="3" t="s">
        <v>430</v>
      </c>
      <c r="AW10" s="3" t="s">
        <v>430</v>
      </c>
      <c r="AX10" s="3" t="s">
        <v>431</v>
      </c>
      <c r="AY10" s="3" t="s">
        <v>430</v>
      </c>
      <c r="AZ10" s="3" t="s">
        <v>431</v>
      </c>
      <c r="BA10" s="3" t="s">
        <v>431</v>
      </c>
      <c r="BB10" s="3" t="s">
        <v>430</v>
      </c>
      <c r="BC10" s="3" t="s">
        <v>431</v>
      </c>
      <c r="BD10" s="3" t="s">
        <v>430</v>
      </c>
      <c r="BE10" s="3" t="s">
        <v>430</v>
      </c>
      <c r="BF10" s="3" t="s">
        <v>430</v>
      </c>
      <c r="BG10" s="3" t="s">
        <v>431</v>
      </c>
      <c r="BH10" s="3" t="s">
        <v>430</v>
      </c>
      <c r="BI10" s="3" t="s">
        <v>430</v>
      </c>
      <c r="BJ10" s="3" t="s">
        <v>431</v>
      </c>
      <c r="BK10" s="3" t="s">
        <v>431</v>
      </c>
      <c r="BL10" s="3" t="s">
        <v>430</v>
      </c>
      <c r="BM10" s="3" t="s">
        <v>431</v>
      </c>
      <c r="BN10" s="3" t="s">
        <v>430</v>
      </c>
      <c r="BO10" s="3" t="s">
        <v>431</v>
      </c>
      <c r="BP10" s="3" t="s">
        <v>431</v>
      </c>
      <c r="BQ10" s="3" t="s">
        <v>431</v>
      </c>
      <c r="BR10" s="3" t="s">
        <v>431</v>
      </c>
      <c r="BS10" s="3" t="s">
        <v>431</v>
      </c>
      <c r="BT10" s="3" t="s">
        <v>430</v>
      </c>
      <c r="BU10" s="3" t="s">
        <v>431</v>
      </c>
      <c r="BV10" s="3" t="s">
        <v>431</v>
      </c>
      <c r="BW10" s="3" t="s">
        <v>431</v>
      </c>
      <c r="BX10" s="3" t="s">
        <v>430</v>
      </c>
      <c r="BY10" s="3" t="s">
        <v>430</v>
      </c>
      <c r="BZ10" s="3" t="s">
        <v>431</v>
      </c>
      <c r="CA10" s="3" t="s">
        <v>431</v>
      </c>
      <c r="CB10" s="3" t="s">
        <v>430</v>
      </c>
      <c r="CC10" s="3" t="s">
        <v>431</v>
      </c>
      <c r="CD10" s="3" t="s">
        <v>430</v>
      </c>
      <c r="CE10" s="3" t="s">
        <v>430</v>
      </c>
      <c r="CF10" s="3" t="s">
        <v>430</v>
      </c>
      <c r="CG10" s="3" t="s">
        <v>431</v>
      </c>
      <c r="CH10" s="3" t="s">
        <v>430</v>
      </c>
      <c r="CI10" s="3" t="s">
        <v>430</v>
      </c>
      <c r="CJ10" s="3" t="s">
        <v>431</v>
      </c>
      <c r="CK10" s="3" t="s">
        <v>431</v>
      </c>
      <c r="CL10" s="3" t="s">
        <v>431</v>
      </c>
      <c r="CM10" s="3" t="s">
        <v>431</v>
      </c>
      <c r="CN10" s="3" t="s">
        <v>431</v>
      </c>
      <c r="CO10" s="3" t="s">
        <v>431</v>
      </c>
      <c r="CP10" s="3" t="s">
        <v>431</v>
      </c>
      <c r="CQ10" s="3" t="s">
        <v>430</v>
      </c>
      <c r="CR10" s="3" t="s">
        <v>431</v>
      </c>
      <c r="CS10" s="3" t="s">
        <v>431</v>
      </c>
      <c r="CT10" s="3" t="s">
        <v>431</v>
      </c>
      <c r="CU10" s="3" t="s">
        <v>431</v>
      </c>
      <c r="CV10" s="3" t="s">
        <v>431</v>
      </c>
      <c r="CW10" s="3" t="s">
        <v>430</v>
      </c>
      <c r="CX10" s="3" t="s">
        <v>430</v>
      </c>
      <c r="CY10" s="3" t="s">
        <v>430</v>
      </c>
      <c r="CZ10" s="3" t="s">
        <v>430</v>
      </c>
      <c r="DA10" s="3" t="s">
        <v>431</v>
      </c>
      <c r="DB10" s="3" t="s">
        <v>431</v>
      </c>
      <c r="DC10" s="3" t="s">
        <v>431</v>
      </c>
      <c r="DD10" s="3" t="s">
        <v>431</v>
      </c>
    </row>
    <row r="11" spans="1:108" x14ac:dyDescent="0.3">
      <c r="A11" s="3" t="s">
        <v>37</v>
      </c>
      <c r="B11" s="3">
        <v>2021</v>
      </c>
      <c r="C11" s="3">
        <v>6119</v>
      </c>
      <c r="D11" s="3" t="s">
        <v>434</v>
      </c>
      <c r="E11" s="3">
        <v>19</v>
      </c>
      <c r="F11" s="5">
        <f t="shared" si="0"/>
        <v>19</v>
      </c>
      <c r="G11" s="3">
        <v>2</v>
      </c>
      <c r="H11" s="5">
        <f t="shared" si="1"/>
        <v>2</v>
      </c>
      <c r="I11" s="3">
        <v>0</v>
      </c>
      <c r="J11" s="5">
        <f t="shared" si="2"/>
        <v>0</v>
      </c>
      <c r="K11" s="3">
        <v>41</v>
      </c>
      <c r="L11" s="5">
        <f t="shared" si="3"/>
        <v>41</v>
      </c>
      <c r="M11" s="3">
        <v>28</v>
      </c>
      <c r="N11" s="5">
        <f t="shared" si="4"/>
        <v>28</v>
      </c>
      <c r="O11" s="3" t="s">
        <v>269</v>
      </c>
      <c r="P11" s="3" t="s">
        <v>262</v>
      </c>
      <c r="Q11" s="3" t="s">
        <v>262</v>
      </c>
      <c r="R11" s="3" t="s">
        <v>262</v>
      </c>
      <c r="S11" s="3" t="s">
        <v>262</v>
      </c>
      <c r="T11" s="3" t="s">
        <v>262</v>
      </c>
      <c r="U11" s="3" t="s">
        <v>262</v>
      </c>
      <c r="V11" s="3" t="s">
        <v>262</v>
      </c>
      <c r="W11" s="3" t="s">
        <v>262</v>
      </c>
      <c r="X11" s="3" t="s">
        <v>262</v>
      </c>
      <c r="Y11" s="3" t="s">
        <v>262</v>
      </c>
      <c r="Z11" s="3" t="s">
        <v>262</v>
      </c>
      <c r="AA11" s="3" t="s">
        <v>262</v>
      </c>
      <c r="AB11" s="3" t="s">
        <v>262</v>
      </c>
      <c r="AC11" s="3" t="s">
        <v>262</v>
      </c>
      <c r="AD11" s="3" t="s">
        <v>262</v>
      </c>
      <c r="AE11" s="3" t="s">
        <v>269</v>
      </c>
      <c r="AF11" s="3" t="s">
        <v>262</v>
      </c>
      <c r="AG11" s="3" t="s">
        <v>262</v>
      </c>
      <c r="AH11" s="3" t="s">
        <v>262</v>
      </c>
      <c r="AI11" s="3" t="s">
        <v>262</v>
      </c>
      <c r="AJ11" s="3" t="s">
        <v>257</v>
      </c>
      <c r="AK11" s="3" t="s">
        <v>431</v>
      </c>
      <c r="AL11" s="3" t="s">
        <v>431</v>
      </c>
      <c r="AM11" s="3" t="s">
        <v>430</v>
      </c>
      <c r="AN11" s="3" t="s">
        <v>431</v>
      </c>
      <c r="AO11" s="3" t="s">
        <v>431</v>
      </c>
      <c r="AP11" s="3" t="s">
        <v>431</v>
      </c>
      <c r="AQ11" s="3" t="s">
        <v>431</v>
      </c>
      <c r="AR11" s="3" t="s">
        <v>430</v>
      </c>
      <c r="AS11" s="3" t="s">
        <v>430</v>
      </c>
      <c r="AT11" s="3" t="s">
        <v>430</v>
      </c>
      <c r="AU11" s="3" t="s">
        <v>431</v>
      </c>
      <c r="AV11" s="3" t="s">
        <v>430</v>
      </c>
      <c r="AW11" s="3" t="s">
        <v>430</v>
      </c>
      <c r="AX11" s="3" t="s">
        <v>431</v>
      </c>
      <c r="AY11" s="3" t="s">
        <v>430</v>
      </c>
      <c r="AZ11" s="3" t="s">
        <v>431</v>
      </c>
      <c r="BA11" s="3" t="s">
        <v>430</v>
      </c>
      <c r="BB11" s="3" t="s">
        <v>430</v>
      </c>
      <c r="BC11" s="3" t="s">
        <v>431</v>
      </c>
      <c r="BD11" s="3" t="s">
        <v>430</v>
      </c>
      <c r="BE11" s="3" t="s">
        <v>430</v>
      </c>
      <c r="BF11" s="3" t="s">
        <v>430</v>
      </c>
      <c r="BG11" s="3" t="s">
        <v>430</v>
      </c>
      <c r="BH11" s="3" t="s">
        <v>430</v>
      </c>
      <c r="BI11" s="3" t="s">
        <v>431</v>
      </c>
      <c r="BJ11" s="3" t="s">
        <v>431</v>
      </c>
      <c r="BK11" s="3" t="s">
        <v>431</v>
      </c>
      <c r="BL11" s="3" t="s">
        <v>430</v>
      </c>
      <c r="BM11" s="3" t="s">
        <v>431</v>
      </c>
      <c r="BN11" s="3" t="s">
        <v>430</v>
      </c>
      <c r="BO11" s="3" t="s">
        <v>431</v>
      </c>
      <c r="BP11" s="3" t="s">
        <v>431</v>
      </c>
      <c r="BQ11" s="3" t="s">
        <v>431</v>
      </c>
      <c r="BR11" s="3" t="s">
        <v>431</v>
      </c>
      <c r="BS11" s="3" t="s">
        <v>431</v>
      </c>
      <c r="BT11" s="3" t="s">
        <v>430</v>
      </c>
      <c r="BU11" s="3" t="s">
        <v>431</v>
      </c>
      <c r="BV11" s="3" t="s">
        <v>431</v>
      </c>
      <c r="BW11" s="3" t="s">
        <v>431</v>
      </c>
      <c r="BX11" s="3" t="s">
        <v>430</v>
      </c>
      <c r="BY11" s="3" t="s">
        <v>431</v>
      </c>
      <c r="BZ11" s="3" t="s">
        <v>431</v>
      </c>
      <c r="CA11" s="3" t="s">
        <v>431</v>
      </c>
      <c r="CB11" s="3" t="s">
        <v>430</v>
      </c>
      <c r="CC11" s="3" t="s">
        <v>431</v>
      </c>
      <c r="CD11" s="3" t="s">
        <v>430</v>
      </c>
      <c r="CE11" s="3" t="s">
        <v>430</v>
      </c>
      <c r="CF11" s="3" t="s">
        <v>430</v>
      </c>
      <c r="CG11" s="3" t="s">
        <v>430</v>
      </c>
      <c r="CH11" s="3" t="s">
        <v>430</v>
      </c>
      <c r="CI11" s="3" t="s">
        <v>430</v>
      </c>
      <c r="CJ11" s="3" t="s">
        <v>431</v>
      </c>
      <c r="CK11" s="3" t="s">
        <v>430</v>
      </c>
      <c r="CL11" s="3" t="s">
        <v>431</v>
      </c>
      <c r="CM11" s="3" t="s">
        <v>431</v>
      </c>
      <c r="CN11" s="3" t="s">
        <v>431</v>
      </c>
      <c r="CO11" s="3" t="s">
        <v>431</v>
      </c>
      <c r="CP11" s="3" t="s">
        <v>431</v>
      </c>
      <c r="CQ11" s="3" t="s">
        <v>430</v>
      </c>
      <c r="CR11" s="3" t="s">
        <v>431</v>
      </c>
      <c r="CS11" s="3" t="s">
        <v>431</v>
      </c>
      <c r="CT11" s="3" t="s">
        <v>431</v>
      </c>
      <c r="CU11" s="3" t="s">
        <v>431</v>
      </c>
      <c r="CV11" s="3" t="s">
        <v>431</v>
      </c>
      <c r="CW11" s="3" t="s">
        <v>430</v>
      </c>
      <c r="CX11" s="3" t="s">
        <v>430</v>
      </c>
      <c r="CY11" s="3" t="s">
        <v>430</v>
      </c>
      <c r="CZ11" s="3" t="s">
        <v>430</v>
      </c>
      <c r="DA11" s="3" t="s">
        <v>431</v>
      </c>
      <c r="DB11" s="3" t="s">
        <v>431</v>
      </c>
      <c r="DC11" s="3" t="s">
        <v>431</v>
      </c>
      <c r="DD11" s="3" t="s">
        <v>431</v>
      </c>
    </row>
    <row r="12" spans="1:108" x14ac:dyDescent="0.3">
      <c r="A12" s="3" t="s">
        <v>38</v>
      </c>
      <c r="B12" s="3">
        <v>2021</v>
      </c>
      <c r="C12" s="3">
        <v>147</v>
      </c>
      <c r="D12" s="3" t="s">
        <v>434</v>
      </c>
      <c r="E12" s="3">
        <v>17</v>
      </c>
      <c r="F12" s="5">
        <f t="shared" si="0"/>
        <v>17</v>
      </c>
      <c r="G12" s="3">
        <v>4</v>
      </c>
      <c r="H12" s="5">
        <f t="shared" si="1"/>
        <v>4</v>
      </c>
      <c r="I12" s="3">
        <v>0</v>
      </c>
      <c r="J12" s="5">
        <f t="shared" si="2"/>
        <v>0</v>
      </c>
      <c r="K12" s="3">
        <v>40</v>
      </c>
      <c r="L12" s="5">
        <f t="shared" si="3"/>
        <v>40</v>
      </c>
      <c r="M12" s="3">
        <v>28</v>
      </c>
      <c r="N12" s="5">
        <f t="shared" si="4"/>
        <v>28</v>
      </c>
      <c r="O12" s="3" t="s">
        <v>269</v>
      </c>
      <c r="P12" s="3" t="s">
        <v>262</v>
      </c>
      <c r="Q12" s="3" t="s">
        <v>262</v>
      </c>
      <c r="R12" s="3" t="s">
        <v>262</v>
      </c>
      <c r="S12" s="3" t="s">
        <v>262</v>
      </c>
      <c r="T12" s="3" t="s">
        <v>262</v>
      </c>
      <c r="U12" s="3" t="s">
        <v>262</v>
      </c>
      <c r="V12" s="3" t="s">
        <v>262</v>
      </c>
      <c r="W12" s="3" t="s">
        <v>262</v>
      </c>
      <c r="X12" s="3" t="s">
        <v>262</v>
      </c>
      <c r="Y12" s="3" t="s">
        <v>262</v>
      </c>
      <c r="Z12" s="3" t="s">
        <v>262</v>
      </c>
      <c r="AA12" s="3" t="s">
        <v>262</v>
      </c>
      <c r="AB12" s="3" t="s">
        <v>262</v>
      </c>
      <c r="AC12" s="3" t="s">
        <v>262</v>
      </c>
      <c r="AD12" s="3" t="s">
        <v>262</v>
      </c>
      <c r="AE12" s="3" t="s">
        <v>269</v>
      </c>
      <c r="AF12" s="3" t="s">
        <v>262</v>
      </c>
      <c r="AG12" s="3" t="s">
        <v>269</v>
      </c>
      <c r="AH12" s="3" t="s">
        <v>262</v>
      </c>
      <c r="AI12" s="3" t="s">
        <v>269</v>
      </c>
      <c r="AJ12" s="3" t="s">
        <v>257</v>
      </c>
      <c r="AK12" s="3" t="s">
        <v>430</v>
      </c>
      <c r="AL12" s="3" t="s">
        <v>431</v>
      </c>
      <c r="AM12" s="3" t="s">
        <v>430</v>
      </c>
      <c r="AN12" s="3" t="s">
        <v>431</v>
      </c>
      <c r="AO12" s="3" t="s">
        <v>431</v>
      </c>
      <c r="AP12" s="3" t="s">
        <v>431</v>
      </c>
      <c r="AQ12" s="3" t="s">
        <v>431</v>
      </c>
      <c r="AR12" s="3" t="s">
        <v>430</v>
      </c>
      <c r="AS12" s="3" t="s">
        <v>430</v>
      </c>
      <c r="AT12" s="3" t="s">
        <v>430</v>
      </c>
      <c r="AU12" s="3" t="s">
        <v>431</v>
      </c>
      <c r="AV12" s="3" t="s">
        <v>430</v>
      </c>
      <c r="AW12" s="3" t="s">
        <v>431</v>
      </c>
      <c r="AX12" s="3" t="s">
        <v>431</v>
      </c>
      <c r="AY12" s="3" t="s">
        <v>431</v>
      </c>
      <c r="AZ12" s="3" t="s">
        <v>431</v>
      </c>
      <c r="BA12" s="3" t="s">
        <v>431</v>
      </c>
      <c r="BB12" s="3" t="s">
        <v>430</v>
      </c>
      <c r="BC12" s="3" t="s">
        <v>430</v>
      </c>
      <c r="BD12" s="3" t="s">
        <v>430</v>
      </c>
      <c r="BE12" s="3" t="s">
        <v>430</v>
      </c>
      <c r="BF12" s="3" t="s">
        <v>430</v>
      </c>
      <c r="BG12" s="3" t="s">
        <v>431</v>
      </c>
      <c r="BH12" s="3" t="s">
        <v>430</v>
      </c>
      <c r="BI12" s="3" t="s">
        <v>430</v>
      </c>
      <c r="BJ12" s="3" t="s">
        <v>431</v>
      </c>
      <c r="BK12" s="3" t="s">
        <v>430</v>
      </c>
      <c r="BL12" s="3" t="s">
        <v>430</v>
      </c>
      <c r="BM12" s="3" t="s">
        <v>431</v>
      </c>
      <c r="BN12" s="3" t="s">
        <v>430</v>
      </c>
      <c r="BO12" s="3" t="s">
        <v>430</v>
      </c>
      <c r="BP12" s="3" t="s">
        <v>431</v>
      </c>
      <c r="BQ12" s="3" t="s">
        <v>431</v>
      </c>
      <c r="BR12" s="3" t="s">
        <v>431</v>
      </c>
      <c r="BS12" s="3" t="s">
        <v>431</v>
      </c>
      <c r="BT12" s="3" t="s">
        <v>430</v>
      </c>
      <c r="BU12" s="3" t="s">
        <v>431</v>
      </c>
      <c r="BV12" s="3" t="s">
        <v>431</v>
      </c>
      <c r="BW12" s="3" t="s">
        <v>431</v>
      </c>
      <c r="BX12" s="3" t="s">
        <v>431</v>
      </c>
      <c r="BY12" s="3" t="s">
        <v>431</v>
      </c>
      <c r="BZ12" s="3" t="s">
        <v>431</v>
      </c>
      <c r="CA12" s="3" t="s">
        <v>431</v>
      </c>
      <c r="CB12" s="3" t="s">
        <v>430</v>
      </c>
      <c r="CC12" s="3" t="s">
        <v>430</v>
      </c>
      <c r="CD12" s="3" t="s">
        <v>430</v>
      </c>
      <c r="CE12" s="3" t="s">
        <v>430</v>
      </c>
      <c r="CF12" s="3" t="s">
        <v>430</v>
      </c>
      <c r="CG12" s="3" t="s">
        <v>430</v>
      </c>
      <c r="CH12" s="3" t="s">
        <v>431</v>
      </c>
      <c r="CI12" s="3" t="s">
        <v>430</v>
      </c>
      <c r="CJ12" s="3" t="s">
        <v>431</v>
      </c>
      <c r="CK12" s="3" t="s">
        <v>430</v>
      </c>
      <c r="CL12" s="3" t="s">
        <v>431</v>
      </c>
      <c r="CM12" s="3" t="s">
        <v>431</v>
      </c>
      <c r="CN12" s="3" t="s">
        <v>430</v>
      </c>
      <c r="CO12" s="3" t="s">
        <v>431</v>
      </c>
      <c r="CP12" s="3" t="s">
        <v>431</v>
      </c>
      <c r="CQ12" s="3" t="s">
        <v>430</v>
      </c>
      <c r="CR12" s="3" t="s">
        <v>431</v>
      </c>
      <c r="CS12" s="3" t="s">
        <v>431</v>
      </c>
      <c r="CT12" s="3" t="s">
        <v>431</v>
      </c>
      <c r="CU12" s="3" t="s">
        <v>431</v>
      </c>
      <c r="CV12" s="3" t="s">
        <v>431</v>
      </c>
      <c r="CW12" s="3" t="s">
        <v>430</v>
      </c>
      <c r="CX12" s="3" t="s">
        <v>430</v>
      </c>
      <c r="CY12" s="3" t="s">
        <v>430</v>
      </c>
      <c r="CZ12" s="3" t="s">
        <v>430</v>
      </c>
      <c r="DA12" s="3" t="s">
        <v>431</v>
      </c>
      <c r="DB12" s="3" t="s">
        <v>431</v>
      </c>
      <c r="DC12" s="3" t="s">
        <v>431</v>
      </c>
      <c r="DD12" s="3" t="s">
        <v>431</v>
      </c>
    </row>
    <row r="13" spans="1:108" x14ac:dyDescent="0.3">
      <c r="A13" s="3" t="s">
        <v>39</v>
      </c>
      <c r="B13" s="3">
        <v>2021</v>
      </c>
      <c r="C13" s="3">
        <v>147</v>
      </c>
      <c r="D13" s="3" t="s">
        <v>433</v>
      </c>
      <c r="E13" s="3">
        <v>18</v>
      </c>
      <c r="F13" s="5">
        <f t="shared" si="0"/>
        <v>18</v>
      </c>
      <c r="G13" s="3">
        <v>1</v>
      </c>
      <c r="H13" s="5">
        <f t="shared" si="1"/>
        <v>1</v>
      </c>
      <c r="I13" s="3">
        <v>0</v>
      </c>
      <c r="J13" s="5">
        <f t="shared" si="2"/>
        <v>0</v>
      </c>
      <c r="K13" s="3">
        <v>32</v>
      </c>
      <c r="L13" s="5">
        <f t="shared" si="3"/>
        <v>32</v>
      </c>
      <c r="M13" s="3">
        <v>19</v>
      </c>
      <c r="N13" s="5">
        <f t="shared" si="4"/>
        <v>19</v>
      </c>
      <c r="O13" s="3" t="s">
        <v>269</v>
      </c>
      <c r="P13" s="3" t="s">
        <v>257</v>
      </c>
      <c r="Q13" s="3" t="s">
        <v>262</v>
      </c>
      <c r="R13" s="3" t="s">
        <v>262</v>
      </c>
      <c r="S13" s="3" t="s">
        <v>262</v>
      </c>
      <c r="T13" s="3" t="s">
        <v>262</v>
      </c>
      <c r="U13" s="3" t="s">
        <v>262</v>
      </c>
      <c r="V13" s="3" t="s">
        <v>262</v>
      </c>
      <c r="W13" s="3" t="s">
        <v>262</v>
      </c>
      <c r="X13" s="3" t="s">
        <v>262</v>
      </c>
      <c r="Y13" s="3" t="s">
        <v>262</v>
      </c>
      <c r="Z13" s="3" t="s">
        <v>262</v>
      </c>
      <c r="AA13" s="3" t="s">
        <v>262</v>
      </c>
      <c r="AB13" s="3" t="s">
        <v>262</v>
      </c>
      <c r="AC13" s="3" t="s">
        <v>262</v>
      </c>
      <c r="AD13" s="3" t="s">
        <v>262</v>
      </c>
      <c r="AE13" s="3" t="s">
        <v>262</v>
      </c>
      <c r="AF13" s="3" t="s">
        <v>262</v>
      </c>
      <c r="AG13" s="3" t="s">
        <v>257</v>
      </c>
      <c r="AH13" s="3" t="s">
        <v>262</v>
      </c>
      <c r="AI13" s="3" t="s">
        <v>262</v>
      </c>
      <c r="AJ13" s="3" t="s">
        <v>257</v>
      </c>
      <c r="AK13" s="3" t="s">
        <v>430</v>
      </c>
      <c r="AL13" s="3" t="s">
        <v>431</v>
      </c>
      <c r="AM13" s="3" t="s">
        <v>430</v>
      </c>
      <c r="AN13" s="3" t="s">
        <v>431</v>
      </c>
      <c r="AO13" s="3" t="s">
        <v>430</v>
      </c>
      <c r="AP13" s="3" t="s">
        <v>430</v>
      </c>
      <c r="AQ13" s="3" t="s">
        <v>430</v>
      </c>
      <c r="AR13" s="3" t="s">
        <v>431</v>
      </c>
      <c r="AS13" s="3" t="s">
        <v>430</v>
      </c>
      <c r="AT13" s="3" t="s">
        <v>430</v>
      </c>
      <c r="AU13" s="3" t="s">
        <v>430</v>
      </c>
      <c r="AV13" s="3" t="s">
        <v>430</v>
      </c>
      <c r="AW13" s="3" t="s">
        <v>430</v>
      </c>
      <c r="AX13" s="3" t="s">
        <v>431</v>
      </c>
      <c r="AY13" s="3" t="s">
        <v>431</v>
      </c>
      <c r="AZ13" s="3" t="s">
        <v>431</v>
      </c>
      <c r="BA13" s="3" t="s">
        <v>430</v>
      </c>
      <c r="BB13" s="3" t="s">
        <v>430</v>
      </c>
      <c r="BC13" s="3" t="s">
        <v>430</v>
      </c>
      <c r="BD13" s="3" t="s">
        <v>430</v>
      </c>
      <c r="BE13" s="3" t="s">
        <v>430</v>
      </c>
      <c r="BF13" s="3" t="s">
        <v>431</v>
      </c>
      <c r="BG13" s="3" t="s">
        <v>430</v>
      </c>
      <c r="BH13" s="3" t="s">
        <v>430</v>
      </c>
      <c r="BI13" s="3" t="s">
        <v>431</v>
      </c>
      <c r="BJ13" s="3" t="s">
        <v>430</v>
      </c>
      <c r="BK13" s="3" t="s">
        <v>431</v>
      </c>
      <c r="BL13" s="3" t="s">
        <v>430</v>
      </c>
      <c r="BM13" s="3" t="s">
        <v>431</v>
      </c>
      <c r="BN13" s="3" t="s">
        <v>430</v>
      </c>
      <c r="BO13" s="3" t="s">
        <v>430</v>
      </c>
      <c r="BP13" s="3" t="s">
        <v>431</v>
      </c>
      <c r="BQ13" s="3" t="s">
        <v>431</v>
      </c>
      <c r="BR13" s="3" t="s">
        <v>431</v>
      </c>
      <c r="BS13" s="3" t="s">
        <v>431</v>
      </c>
      <c r="BT13" s="3" t="s">
        <v>430</v>
      </c>
      <c r="BU13" s="3" t="s">
        <v>430</v>
      </c>
      <c r="BV13" s="3" t="s">
        <v>430</v>
      </c>
      <c r="BW13" s="3" t="s">
        <v>431</v>
      </c>
      <c r="BX13" s="3" t="s">
        <v>430</v>
      </c>
      <c r="BY13" s="3" t="s">
        <v>430</v>
      </c>
      <c r="BZ13" s="3" t="s">
        <v>431</v>
      </c>
      <c r="CA13" s="3" t="s">
        <v>430</v>
      </c>
      <c r="CB13" s="3" t="s">
        <v>430</v>
      </c>
      <c r="CC13" s="3" t="s">
        <v>430</v>
      </c>
      <c r="CD13" s="3" t="s">
        <v>430</v>
      </c>
      <c r="CE13" s="3" t="s">
        <v>431</v>
      </c>
      <c r="CF13" s="3" t="s">
        <v>430</v>
      </c>
      <c r="CG13" s="3" t="s">
        <v>430</v>
      </c>
      <c r="CH13" s="3" t="s">
        <v>430</v>
      </c>
      <c r="CI13" s="3" t="s">
        <v>430</v>
      </c>
      <c r="CJ13" s="3" t="s">
        <v>431</v>
      </c>
      <c r="CK13" s="3" t="s">
        <v>431</v>
      </c>
      <c r="CL13" s="3" t="s">
        <v>430</v>
      </c>
      <c r="CM13" s="3" t="s">
        <v>431</v>
      </c>
      <c r="CN13" s="3" t="s">
        <v>431</v>
      </c>
      <c r="CO13" s="3" t="s">
        <v>431</v>
      </c>
      <c r="CP13" s="3" t="s">
        <v>431</v>
      </c>
      <c r="CQ13" s="3" t="s">
        <v>430</v>
      </c>
      <c r="CR13" s="3" t="s">
        <v>431</v>
      </c>
      <c r="CS13" s="3" t="s">
        <v>431</v>
      </c>
      <c r="CT13" s="3" t="s">
        <v>431</v>
      </c>
      <c r="CU13" s="3" t="s">
        <v>431</v>
      </c>
      <c r="CV13" s="3" t="s">
        <v>431</v>
      </c>
      <c r="CW13" s="3" t="s">
        <v>430</v>
      </c>
      <c r="CX13" s="3" t="s">
        <v>430</v>
      </c>
      <c r="CY13" s="3" t="s">
        <v>430</v>
      </c>
      <c r="CZ13" s="3" t="s">
        <v>430</v>
      </c>
      <c r="DA13" s="3" t="s">
        <v>431</v>
      </c>
      <c r="DB13" s="3" t="s">
        <v>431</v>
      </c>
      <c r="DC13" s="3" t="s">
        <v>431</v>
      </c>
      <c r="DD13" s="3" t="s">
        <v>431</v>
      </c>
    </row>
    <row r="14" spans="1:108" x14ac:dyDescent="0.3">
      <c r="A14" s="3" t="s">
        <v>40</v>
      </c>
      <c r="B14" s="3">
        <v>2021</v>
      </c>
      <c r="C14" s="3">
        <v>383</v>
      </c>
      <c r="D14" s="3" t="s">
        <v>433</v>
      </c>
      <c r="E14" s="3">
        <v>21</v>
      </c>
      <c r="F14" s="5">
        <f t="shared" si="0"/>
        <v>21</v>
      </c>
      <c r="G14" s="3">
        <v>0</v>
      </c>
      <c r="H14" s="5">
        <f t="shared" si="1"/>
        <v>0</v>
      </c>
      <c r="I14" s="3">
        <v>0</v>
      </c>
      <c r="J14" s="5">
        <f t="shared" si="2"/>
        <v>0</v>
      </c>
      <c r="K14" s="3">
        <v>37</v>
      </c>
      <c r="L14" s="5">
        <f t="shared" si="3"/>
        <v>37</v>
      </c>
      <c r="M14" s="3">
        <v>25</v>
      </c>
      <c r="N14" s="5">
        <f t="shared" si="4"/>
        <v>25</v>
      </c>
      <c r="O14" s="3" t="s">
        <v>262</v>
      </c>
      <c r="P14" s="3" t="s">
        <v>262</v>
      </c>
      <c r="Q14" s="3" t="s">
        <v>262</v>
      </c>
      <c r="R14" s="3" t="s">
        <v>262</v>
      </c>
      <c r="S14" s="3" t="s">
        <v>262</v>
      </c>
      <c r="T14" s="3" t="s">
        <v>262</v>
      </c>
      <c r="U14" s="3" t="s">
        <v>262</v>
      </c>
      <c r="V14" s="3" t="s">
        <v>262</v>
      </c>
      <c r="W14" s="3" t="s">
        <v>262</v>
      </c>
      <c r="X14" s="3" t="s">
        <v>262</v>
      </c>
      <c r="Y14" s="3" t="s">
        <v>262</v>
      </c>
      <c r="Z14" s="3" t="s">
        <v>262</v>
      </c>
      <c r="AA14" s="3" t="s">
        <v>262</v>
      </c>
      <c r="AB14" s="3" t="s">
        <v>262</v>
      </c>
      <c r="AC14" s="3" t="s">
        <v>262</v>
      </c>
      <c r="AD14" s="3" t="s">
        <v>262</v>
      </c>
      <c r="AE14" s="3" t="s">
        <v>262</v>
      </c>
      <c r="AF14" s="3" t="s">
        <v>262</v>
      </c>
      <c r="AG14" s="3" t="s">
        <v>262</v>
      </c>
      <c r="AH14" s="3" t="s">
        <v>262</v>
      </c>
      <c r="AI14" s="3" t="s">
        <v>262</v>
      </c>
      <c r="AJ14" s="3" t="s">
        <v>257</v>
      </c>
      <c r="AK14" s="3" t="s">
        <v>430</v>
      </c>
      <c r="AL14" s="3" t="s">
        <v>431</v>
      </c>
      <c r="AM14" s="3" t="s">
        <v>430</v>
      </c>
      <c r="AN14" s="3" t="s">
        <v>431</v>
      </c>
      <c r="AO14" s="3" t="s">
        <v>431</v>
      </c>
      <c r="AP14" s="3" t="s">
        <v>431</v>
      </c>
      <c r="AQ14" s="3" t="s">
        <v>431</v>
      </c>
      <c r="AR14" s="3" t="s">
        <v>431</v>
      </c>
      <c r="AS14" s="3" t="s">
        <v>430</v>
      </c>
      <c r="AT14" s="3" t="s">
        <v>430</v>
      </c>
      <c r="AU14" s="3" t="s">
        <v>431</v>
      </c>
      <c r="AV14" s="3" t="s">
        <v>430</v>
      </c>
      <c r="AW14" s="3" t="s">
        <v>430</v>
      </c>
      <c r="AX14" s="3" t="s">
        <v>431</v>
      </c>
      <c r="AY14" s="3" t="s">
        <v>430</v>
      </c>
      <c r="AZ14" s="3" t="s">
        <v>431</v>
      </c>
      <c r="BA14" s="3" t="s">
        <v>431</v>
      </c>
      <c r="BB14" s="3" t="s">
        <v>430</v>
      </c>
      <c r="BC14" s="3" t="s">
        <v>431</v>
      </c>
      <c r="BD14" s="3" t="s">
        <v>430</v>
      </c>
      <c r="BE14" s="3" t="s">
        <v>430</v>
      </c>
      <c r="BF14" s="3" t="s">
        <v>430</v>
      </c>
      <c r="BG14" s="3" t="s">
        <v>431</v>
      </c>
      <c r="BH14" s="3" t="s">
        <v>430</v>
      </c>
      <c r="BI14" s="3" t="s">
        <v>430</v>
      </c>
      <c r="BJ14" s="3" t="s">
        <v>431</v>
      </c>
      <c r="BK14" s="3" t="s">
        <v>431</v>
      </c>
      <c r="BL14" s="3" t="s">
        <v>430</v>
      </c>
      <c r="BM14" s="3" t="s">
        <v>431</v>
      </c>
      <c r="BN14" s="3" t="s">
        <v>430</v>
      </c>
      <c r="BO14" s="3" t="s">
        <v>430</v>
      </c>
      <c r="BP14" s="3" t="s">
        <v>431</v>
      </c>
      <c r="BQ14" s="3" t="s">
        <v>431</v>
      </c>
      <c r="BR14" s="3" t="s">
        <v>431</v>
      </c>
      <c r="BS14" s="3" t="s">
        <v>430</v>
      </c>
      <c r="BT14" s="3" t="s">
        <v>430</v>
      </c>
      <c r="BU14" s="3" t="s">
        <v>431</v>
      </c>
      <c r="BV14" s="3" t="s">
        <v>431</v>
      </c>
      <c r="BW14" s="3" t="s">
        <v>431</v>
      </c>
      <c r="BX14" s="3" t="s">
        <v>430</v>
      </c>
      <c r="BY14" s="3" t="s">
        <v>430</v>
      </c>
      <c r="BZ14" s="3" t="s">
        <v>431</v>
      </c>
      <c r="CA14" s="3" t="s">
        <v>431</v>
      </c>
      <c r="CB14" s="3" t="s">
        <v>430</v>
      </c>
      <c r="CC14" s="3" t="s">
        <v>430</v>
      </c>
      <c r="CD14" s="3" t="s">
        <v>430</v>
      </c>
      <c r="CE14" s="3" t="s">
        <v>430</v>
      </c>
      <c r="CF14" s="3" t="s">
        <v>430</v>
      </c>
      <c r="CG14" s="3" t="s">
        <v>430</v>
      </c>
      <c r="CH14" s="3" t="s">
        <v>430</v>
      </c>
      <c r="CI14" s="3" t="s">
        <v>430</v>
      </c>
      <c r="CJ14" s="3" t="s">
        <v>431</v>
      </c>
      <c r="CK14" s="3" t="s">
        <v>430</v>
      </c>
      <c r="CL14" s="3" t="s">
        <v>431</v>
      </c>
      <c r="CM14" s="3" t="s">
        <v>431</v>
      </c>
      <c r="CN14" s="3" t="s">
        <v>431</v>
      </c>
      <c r="CO14" s="3" t="s">
        <v>431</v>
      </c>
      <c r="CP14" s="3" t="s">
        <v>431</v>
      </c>
      <c r="CQ14" s="3" t="s">
        <v>430</v>
      </c>
      <c r="CR14" s="3" t="s">
        <v>431</v>
      </c>
      <c r="CS14" s="3" t="s">
        <v>431</v>
      </c>
      <c r="CT14" s="3" t="s">
        <v>431</v>
      </c>
      <c r="CU14" s="3" t="s">
        <v>431</v>
      </c>
      <c r="CV14" s="3" t="s">
        <v>431</v>
      </c>
      <c r="CW14" s="3" t="s">
        <v>430</v>
      </c>
      <c r="CX14" s="3" t="s">
        <v>430</v>
      </c>
      <c r="CY14" s="3" t="s">
        <v>430</v>
      </c>
      <c r="CZ14" s="3" t="s">
        <v>430</v>
      </c>
      <c r="DA14" s="3" t="s">
        <v>431</v>
      </c>
      <c r="DB14" s="3" t="s">
        <v>430</v>
      </c>
      <c r="DC14" s="3" t="s">
        <v>431</v>
      </c>
      <c r="DD14" s="3" t="s">
        <v>431</v>
      </c>
    </row>
    <row r="15" spans="1:108" x14ac:dyDescent="0.3">
      <c r="A15" s="3" t="s">
        <v>41</v>
      </c>
      <c r="B15" s="3">
        <v>2021</v>
      </c>
      <c r="C15" s="3">
        <v>11</v>
      </c>
      <c r="D15" s="3" t="s">
        <v>433</v>
      </c>
      <c r="E15" s="3">
        <v>18</v>
      </c>
      <c r="F15" s="5">
        <f t="shared" si="0"/>
        <v>18</v>
      </c>
      <c r="G15" s="3">
        <v>0</v>
      </c>
      <c r="H15" s="5">
        <f t="shared" si="1"/>
        <v>0</v>
      </c>
      <c r="I15" s="3">
        <v>0</v>
      </c>
      <c r="J15" s="5">
        <f t="shared" si="2"/>
        <v>0</v>
      </c>
      <c r="K15" s="3">
        <v>35</v>
      </c>
      <c r="L15" s="5">
        <f t="shared" si="3"/>
        <v>35</v>
      </c>
      <c r="M15" s="3">
        <v>22</v>
      </c>
      <c r="N15" s="5">
        <f t="shared" si="4"/>
        <v>22</v>
      </c>
      <c r="O15" s="3" t="s">
        <v>257</v>
      </c>
      <c r="P15" s="3" t="s">
        <v>257</v>
      </c>
      <c r="Q15" s="3" t="s">
        <v>262</v>
      </c>
      <c r="R15" s="3" t="s">
        <v>262</v>
      </c>
      <c r="S15" s="3" t="s">
        <v>262</v>
      </c>
      <c r="T15" s="3" t="s">
        <v>257</v>
      </c>
      <c r="U15" s="3" t="s">
        <v>262</v>
      </c>
      <c r="V15" s="3" t="s">
        <v>262</v>
      </c>
      <c r="W15" s="3" t="s">
        <v>262</v>
      </c>
      <c r="X15" s="3" t="s">
        <v>262</v>
      </c>
      <c r="Y15" s="3" t="s">
        <v>262</v>
      </c>
      <c r="Z15" s="3" t="s">
        <v>262</v>
      </c>
      <c r="AA15" s="3" t="s">
        <v>262</v>
      </c>
      <c r="AB15" s="3" t="s">
        <v>262</v>
      </c>
      <c r="AC15" s="3" t="s">
        <v>262</v>
      </c>
      <c r="AD15" s="3" t="s">
        <v>262</v>
      </c>
      <c r="AE15" s="3" t="s">
        <v>262</v>
      </c>
      <c r="AF15" s="3" t="s">
        <v>262</v>
      </c>
      <c r="AG15" s="3" t="s">
        <v>257</v>
      </c>
      <c r="AH15" s="3" t="s">
        <v>262</v>
      </c>
      <c r="AI15" s="3" t="s">
        <v>262</v>
      </c>
      <c r="AJ15" s="3" t="s">
        <v>262</v>
      </c>
      <c r="AK15" s="3" t="s">
        <v>430</v>
      </c>
      <c r="AL15" s="3" t="s">
        <v>430</v>
      </c>
      <c r="AM15" s="3" t="s">
        <v>430</v>
      </c>
      <c r="AN15" s="3" t="s">
        <v>431</v>
      </c>
      <c r="AO15" s="3" t="s">
        <v>431</v>
      </c>
      <c r="AP15" s="3" t="s">
        <v>430</v>
      </c>
      <c r="AQ15" s="3" t="s">
        <v>430</v>
      </c>
      <c r="AR15" s="3" t="s">
        <v>431</v>
      </c>
      <c r="AS15" s="3" t="s">
        <v>431</v>
      </c>
      <c r="AT15" s="3" t="s">
        <v>430</v>
      </c>
      <c r="AU15" s="3" t="s">
        <v>431</v>
      </c>
      <c r="AV15" s="3" t="s">
        <v>430</v>
      </c>
      <c r="AW15" s="3" t="s">
        <v>430</v>
      </c>
      <c r="AX15" s="3" t="s">
        <v>431</v>
      </c>
      <c r="AY15" s="3" t="s">
        <v>431</v>
      </c>
      <c r="AZ15" s="3" t="s">
        <v>430</v>
      </c>
      <c r="BA15" s="3" t="s">
        <v>431</v>
      </c>
      <c r="BB15" s="3" t="s">
        <v>430</v>
      </c>
      <c r="BC15" s="3" t="s">
        <v>430</v>
      </c>
      <c r="BD15" s="3" t="s">
        <v>430</v>
      </c>
      <c r="BE15" s="3" t="s">
        <v>430</v>
      </c>
      <c r="BF15" s="3" t="s">
        <v>430</v>
      </c>
      <c r="BG15" s="3" t="s">
        <v>430</v>
      </c>
      <c r="BH15" s="3" t="s">
        <v>430</v>
      </c>
      <c r="BI15" s="3" t="s">
        <v>430</v>
      </c>
      <c r="BJ15" s="3" t="s">
        <v>430</v>
      </c>
      <c r="BK15" s="3" t="s">
        <v>430</v>
      </c>
      <c r="BL15" s="3" t="s">
        <v>431</v>
      </c>
      <c r="BM15" s="3" t="s">
        <v>431</v>
      </c>
      <c r="BN15" s="3" t="s">
        <v>431</v>
      </c>
      <c r="BO15" s="3" t="s">
        <v>430</v>
      </c>
      <c r="BP15" s="3" t="s">
        <v>431</v>
      </c>
      <c r="BQ15" s="3" t="s">
        <v>431</v>
      </c>
      <c r="BR15" s="3" t="s">
        <v>431</v>
      </c>
      <c r="BS15" s="3" t="s">
        <v>431</v>
      </c>
      <c r="BT15" s="3" t="s">
        <v>430</v>
      </c>
      <c r="BU15" s="3" t="s">
        <v>431</v>
      </c>
      <c r="BV15" s="3" t="s">
        <v>431</v>
      </c>
      <c r="BW15" s="3" t="s">
        <v>431</v>
      </c>
      <c r="BX15" s="3" t="s">
        <v>430</v>
      </c>
      <c r="BY15" s="3" t="s">
        <v>430</v>
      </c>
      <c r="BZ15" s="3" t="s">
        <v>431</v>
      </c>
      <c r="CA15" s="3" t="s">
        <v>431</v>
      </c>
      <c r="CB15" s="3" t="s">
        <v>430</v>
      </c>
      <c r="CC15" s="3" t="s">
        <v>430</v>
      </c>
      <c r="CD15" s="3" t="s">
        <v>430</v>
      </c>
      <c r="CE15" s="3" t="s">
        <v>430</v>
      </c>
      <c r="CF15" s="3" t="s">
        <v>430</v>
      </c>
      <c r="CG15" s="3" t="s">
        <v>430</v>
      </c>
      <c r="CH15" s="3" t="s">
        <v>431</v>
      </c>
      <c r="CI15" s="3" t="s">
        <v>430</v>
      </c>
      <c r="CJ15" s="3" t="s">
        <v>431</v>
      </c>
      <c r="CK15" s="3" t="s">
        <v>430</v>
      </c>
      <c r="CL15" s="3" t="s">
        <v>430</v>
      </c>
      <c r="CM15" s="3" t="s">
        <v>431</v>
      </c>
      <c r="CN15" s="3" t="s">
        <v>431</v>
      </c>
      <c r="CO15" s="3" t="s">
        <v>431</v>
      </c>
      <c r="CP15" s="3" t="s">
        <v>431</v>
      </c>
      <c r="CQ15" s="3" t="s">
        <v>430</v>
      </c>
      <c r="CR15" s="3" t="s">
        <v>431</v>
      </c>
      <c r="CS15" s="3" t="s">
        <v>431</v>
      </c>
      <c r="CT15" s="3" t="s">
        <v>431</v>
      </c>
      <c r="CU15" s="3" t="s">
        <v>431</v>
      </c>
      <c r="CV15" s="3" t="s">
        <v>431</v>
      </c>
      <c r="CW15" s="3" t="s">
        <v>430</v>
      </c>
      <c r="CX15" s="3" t="s">
        <v>430</v>
      </c>
      <c r="CY15" s="3" t="s">
        <v>430</v>
      </c>
      <c r="CZ15" s="3" t="s">
        <v>430</v>
      </c>
      <c r="DA15" s="3" t="s">
        <v>431</v>
      </c>
      <c r="DB15" s="3" t="s">
        <v>431</v>
      </c>
      <c r="DC15" s="3" t="s">
        <v>431</v>
      </c>
      <c r="DD15" s="3" t="s">
        <v>431</v>
      </c>
    </row>
    <row r="16" spans="1:108" x14ac:dyDescent="0.3">
      <c r="A16" s="3" t="s">
        <v>42</v>
      </c>
      <c r="B16" s="3">
        <v>2021</v>
      </c>
      <c r="C16" s="3">
        <v>383</v>
      </c>
      <c r="D16" s="3" t="s">
        <v>433</v>
      </c>
      <c r="E16" s="3">
        <v>15</v>
      </c>
      <c r="F16" s="5">
        <f t="shared" si="0"/>
        <v>15</v>
      </c>
      <c r="G16" s="3">
        <v>0</v>
      </c>
      <c r="H16" s="5">
        <f t="shared" si="1"/>
        <v>0</v>
      </c>
      <c r="I16" s="3">
        <v>0</v>
      </c>
      <c r="J16" s="5">
        <f t="shared" si="2"/>
        <v>0</v>
      </c>
      <c r="K16" s="3">
        <v>41</v>
      </c>
      <c r="L16" s="5">
        <f t="shared" si="3"/>
        <v>41</v>
      </c>
      <c r="M16" s="3">
        <v>28</v>
      </c>
      <c r="N16" s="5">
        <f t="shared" si="4"/>
        <v>28</v>
      </c>
      <c r="O16" s="3" t="s">
        <v>257</v>
      </c>
      <c r="P16" s="3" t="s">
        <v>257</v>
      </c>
      <c r="Q16" s="3" t="s">
        <v>257</v>
      </c>
      <c r="R16" s="3" t="s">
        <v>257</v>
      </c>
      <c r="S16" s="3" t="s">
        <v>257</v>
      </c>
      <c r="T16" s="3" t="s">
        <v>262</v>
      </c>
      <c r="U16" s="3" t="s">
        <v>262</v>
      </c>
      <c r="V16" s="3" t="s">
        <v>262</v>
      </c>
      <c r="W16" s="3" t="s">
        <v>262</v>
      </c>
      <c r="X16" s="3" t="s">
        <v>262</v>
      </c>
      <c r="Y16" s="3" t="s">
        <v>262</v>
      </c>
      <c r="Z16" s="3" t="s">
        <v>262</v>
      </c>
      <c r="AA16" s="3" t="s">
        <v>262</v>
      </c>
      <c r="AB16" s="3" t="s">
        <v>262</v>
      </c>
      <c r="AC16" s="3" t="s">
        <v>262</v>
      </c>
      <c r="AD16" s="3" t="s">
        <v>262</v>
      </c>
      <c r="AE16" s="3" t="s">
        <v>262</v>
      </c>
      <c r="AF16" s="3" t="s">
        <v>262</v>
      </c>
      <c r="AG16" s="3" t="s">
        <v>262</v>
      </c>
      <c r="AH16" s="3" t="s">
        <v>262</v>
      </c>
      <c r="AI16" s="3" t="s">
        <v>257</v>
      </c>
      <c r="AJ16" s="3" t="s">
        <v>257</v>
      </c>
      <c r="AK16" s="3" t="s">
        <v>430</v>
      </c>
      <c r="AL16" s="3" t="s">
        <v>431</v>
      </c>
      <c r="AM16" s="3" t="s">
        <v>430</v>
      </c>
      <c r="AN16" s="3" t="s">
        <v>431</v>
      </c>
      <c r="AO16" s="3" t="s">
        <v>431</v>
      </c>
      <c r="AP16" s="3" t="s">
        <v>431</v>
      </c>
      <c r="AQ16" s="3" t="s">
        <v>431</v>
      </c>
      <c r="AR16" s="3" t="s">
        <v>431</v>
      </c>
      <c r="AS16" s="3" t="s">
        <v>430</v>
      </c>
      <c r="AT16" s="3" t="s">
        <v>430</v>
      </c>
      <c r="AU16" s="3" t="s">
        <v>431</v>
      </c>
      <c r="AV16" s="3" t="s">
        <v>430</v>
      </c>
      <c r="AW16" s="3" t="s">
        <v>430</v>
      </c>
      <c r="AX16" s="3" t="s">
        <v>430</v>
      </c>
      <c r="AY16" s="3" t="s">
        <v>430</v>
      </c>
      <c r="AZ16" s="3" t="s">
        <v>431</v>
      </c>
      <c r="BA16" s="3" t="s">
        <v>431</v>
      </c>
      <c r="BB16" s="3" t="s">
        <v>430</v>
      </c>
      <c r="BC16" s="3" t="s">
        <v>431</v>
      </c>
      <c r="BD16" s="3" t="s">
        <v>430</v>
      </c>
      <c r="BE16" s="3" t="s">
        <v>430</v>
      </c>
      <c r="BF16" s="3" t="s">
        <v>430</v>
      </c>
      <c r="BG16" s="3" t="s">
        <v>431</v>
      </c>
      <c r="BH16" s="3" t="s">
        <v>430</v>
      </c>
      <c r="BI16" s="3" t="s">
        <v>430</v>
      </c>
      <c r="BJ16" s="3" t="s">
        <v>431</v>
      </c>
      <c r="BK16" s="3" t="s">
        <v>431</v>
      </c>
      <c r="BL16" s="3" t="s">
        <v>430</v>
      </c>
      <c r="BM16" s="3" t="s">
        <v>431</v>
      </c>
      <c r="BN16" s="3" t="s">
        <v>430</v>
      </c>
      <c r="BO16" s="3" t="s">
        <v>431</v>
      </c>
      <c r="BP16" s="3" t="s">
        <v>431</v>
      </c>
      <c r="BQ16" s="3" t="s">
        <v>431</v>
      </c>
      <c r="BR16" s="3" t="s">
        <v>431</v>
      </c>
      <c r="BS16" s="3" t="s">
        <v>431</v>
      </c>
      <c r="BT16" s="3" t="s">
        <v>430</v>
      </c>
      <c r="BU16" s="3" t="s">
        <v>431</v>
      </c>
      <c r="BV16" s="3" t="s">
        <v>431</v>
      </c>
      <c r="BW16" s="3" t="s">
        <v>431</v>
      </c>
      <c r="BX16" s="3" t="s">
        <v>430</v>
      </c>
      <c r="BY16" s="3" t="s">
        <v>430</v>
      </c>
      <c r="BZ16" s="3" t="s">
        <v>431</v>
      </c>
      <c r="CA16" s="3" t="s">
        <v>431</v>
      </c>
      <c r="CB16" s="3" t="s">
        <v>430</v>
      </c>
      <c r="CC16" s="3" t="s">
        <v>431</v>
      </c>
      <c r="CD16" s="3" t="s">
        <v>430</v>
      </c>
      <c r="CE16" s="3" t="s">
        <v>430</v>
      </c>
      <c r="CF16" s="3" t="s">
        <v>430</v>
      </c>
      <c r="CG16" s="3" t="s">
        <v>431</v>
      </c>
      <c r="CH16" s="3" t="s">
        <v>430</v>
      </c>
      <c r="CI16" s="3" t="s">
        <v>430</v>
      </c>
      <c r="CJ16" s="3" t="s">
        <v>431</v>
      </c>
      <c r="CK16" s="3" t="s">
        <v>430</v>
      </c>
      <c r="CL16" s="3" t="s">
        <v>431</v>
      </c>
      <c r="CM16" s="3" t="s">
        <v>431</v>
      </c>
      <c r="CN16" s="3" t="s">
        <v>431</v>
      </c>
      <c r="CO16" s="3" t="s">
        <v>431</v>
      </c>
      <c r="CP16" s="3" t="s">
        <v>431</v>
      </c>
      <c r="CQ16" s="3" t="s">
        <v>430</v>
      </c>
      <c r="CR16" s="3" t="s">
        <v>431</v>
      </c>
      <c r="CS16" s="3" t="s">
        <v>431</v>
      </c>
      <c r="CT16" s="3" t="s">
        <v>431</v>
      </c>
      <c r="CU16" s="3" t="s">
        <v>431</v>
      </c>
      <c r="CV16" s="3" t="s">
        <v>431</v>
      </c>
      <c r="CW16" s="3" t="s">
        <v>430</v>
      </c>
      <c r="CX16" s="3" t="s">
        <v>430</v>
      </c>
      <c r="CY16" s="3" t="s">
        <v>430</v>
      </c>
      <c r="CZ16" s="3" t="s">
        <v>430</v>
      </c>
      <c r="DA16" s="3" t="s">
        <v>431</v>
      </c>
      <c r="DB16" s="3" t="s">
        <v>431</v>
      </c>
      <c r="DC16" s="3" t="s">
        <v>431</v>
      </c>
      <c r="DD16" s="3" t="s">
        <v>431</v>
      </c>
    </row>
    <row r="17" spans="1:108" x14ac:dyDescent="0.3">
      <c r="A17" s="3" t="s">
        <v>43</v>
      </c>
      <c r="B17" s="3">
        <v>2021</v>
      </c>
      <c r="C17" s="3">
        <v>751</v>
      </c>
      <c r="D17" s="3" t="s">
        <v>433</v>
      </c>
      <c r="E17" s="3">
        <v>16</v>
      </c>
      <c r="F17" s="5">
        <f t="shared" si="0"/>
        <v>16</v>
      </c>
      <c r="G17" s="3">
        <v>1</v>
      </c>
      <c r="H17" s="5">
        <f t="shared" si="1"/>
        <v>1</v>
      </c>
      <c r="I17" s="3">
        <v>0</v>
      </c>
      <c r="J17" s="5">
        <f t="shared" si="2"/>
        <v>0</v>
      </c>
      <c r="K17" s="3">
        <v>33</v>
      </c>
      <c r="L17" s="5">
        <f t="shared" si="3"/>
        <v>33</v>
      </c>
      <c r="M17" s="3">
        <v>20</v>
      </c>
      <c r="N17" s="5">
        <f t="shared" si="4"/>
        <v>20</v>
      </c>
      <c r="O17" s="3" t="s">
        <v>257</v>
      </c>
      <c r="P17" s="3" t="s">
        <v>257</v>
      </c>
      <c r="Q17" s="3" t="s">
        <v>262</v>
      </c>
      <c r="R17" s="3" t="s">
        <v>262</v>
      </c>
      <c r="S17" s="3" t="s">
        <v>262</v>
      </c>
      <c r="T17" s="3" t="s">
        <v>257</v>
      </c>
      <c r="U17" s="3" t="s">
        <v>262</v>
      </c>
      <c r="V17" s="3" t="s">
        <v>262</v>
      </c>
      <c r="W17" s="3" t="s">
        <v>262</v>
      </c>
      <c r="X17" s="3" t="s">
        <v>262</v>
      </c>
      <c r="Y17" s="3" t="s">
        <v>262</v>
      </c>
      <c r="Z17" s="3" t="s">
        <v>262</v>
      </c>
      <c r="AA17" s="3" t="s">
        <v>262</v>
      </c>
      <c r="AB17" s="3" t="s">
        <v>262</v>
      </c>
      <c r="AC17" s="3" t="s">
        <v>262</v>
      </c>
      <c r="AD17" s="3" t="s">
        <v>262</v>
      </c>
      <c r="AE17" s="3" t="s">
        <v>262</v>
      </c>
      <c r="AF17" s="3" t="s">
        <v>262</v>
      </c>
      <c r="AG17" s="3" t="s">
        <v>257</v>
      </c>
      <c r="AH17" s="3" t="s">
        <v>262</v>
      </c>
      <c r="AI17" s="3" t="s">
        <v>269</v>
      </c>
      <c r="AJ17" s="3" t="s">
        <v>257</v>
      </c>
      <c r="AK17" s="3" t="s">
        <v>430</v>
      </c>
      <c r="AL17" s="3" t="s">
        <v>430</v>
      </c>
      <c r="AM17" s="3" t="s">
        <v>430</v>
      </c>
      <c r="AN17" s="3" t="s">
        <v>431</v>
      </c>
      <c r="AO17" s="3" t="s">
        <v>431</v>
      </c>
      <c r="AP17" s="3" t="s">
        <v>430</v>
      </c>
      <c r="AQ17" s="3" t="s">
        <v>430</v>
      </c>
      <c r="AR17" s="3" t="s">
        <v>430</v>
      </c>
      <c r="AS17" s="3" t="s">
        <v>430</v>
      </c>
      <c r="AT17" s="3" t="s">
        <v>430</v>
      </c>
      <c r="AU17" s="3" t="s">
        <v>431</v>
      </c>
      <c r="AV17" s="3" t="s">
        <v>430</v>
      </c>
      <c r="AW17" s="3" t="s">
        <v>430</v>
      </c>
      <c r="AX17" s="3" t="s">
        <v>431</v>
      </c>
      <c r="AY17" s="3" t="s">
        <v>431</v>
      </c>
      <c r="AZ17" s="3" t="s">
        <v>430</v>
      </c>
      <c r="BA17" s="3" t="s">
        <v>431</v>
      </c>
      <c r="BB17" s="3" t="s">
        <v>430</v>
      </c>
      <c r="BC17" s="3" t="s">
        <v>430</v>
      </c>
      <c r="BD17" s="3" t="s">
        <v>430</v>
      </c>
      <c r="BE17" s="3" t="s">
        <v>430</v>
      </c>
      <c r="BF17" s="3" t="s">
        <v>430</v>
      </c>
      <c r="BG17" s="3" t="s">
        <v>430</v>
      </c>
      <c r="BH17" s="3" t="s">
        <v>430</v>
      </c>
      <c r="BI17" s="3" t="s">
        <v>430</v>
      </c>
      <c r="BJ17" s="3" t="s">
        <v>430</v>
      </c>
      <c r="BK17" s="3" t="s">
        <v>430</v>
      </c>
      <c r="BL17" s="3" t="s">
        <v>431</v>
      </c>
      <c r="BM17" s="3" t="s">
        <v>431</v>
      </c>
      <c r="BN17" s="3" t="s">
        <v>431</v>
      </c>
      <c r="BO17" s="3" t="s">
        <v>430</v>
      </c>
      <c r="BP17" s="3" t="s">
        <v>431</v>
      </c>
      <c r="BQ17" s="3" t="s">
        <v>431</v>
      </c>
      <c r="BR17" s="3" t="s">
        <v>431</v>
      </c>
      <c r="BS17" s="3" t="s">
        <v>431</v>
      </c>
      <c r="BT17" s="3" t="s">
        <v>430</v>
      </c>
      <c r="BU17" s="3" t="s">
        <v>431</v>
      </c>
      <c r="BV17" s="3" t="s">
        <v>431</v>
      </c>
      <c r="BW17" s="3" t="s">
        <v>431</v>
      </c>
      <c r="BX17" s="3" t="s">
        <v>430</v>
      </c>
      <c r="BY17" s="3" t="s">
        <v>430</v>
      </c>
      <c r="BZ17" s="3" t="s">
        <v>431</v>
      </c>
      <c r="CA17" s="3" t="s">
        <v>431</v>
      </c>
      <c r="CB17" s="3" t="s">
        <v>430</v>
      </c>
      <c r="CC17" s="3" t="s">
        <v>430</v>
      </c>
      <c r="CD17" s="3" t="s">
        <v>430</v>
      </c>
      <c r="CE17" s="3" t="s">
        <v>430</v>
      </c>
      <c r="CF17" s="3" t="s">
        <v>430</v>
      </c>
      <c r="CG17" s="3" t="s">
        <v>430</v>
      </c>
      <c r="CH17" s="3" t="s">
        <v>431</v>
      </c>
      <c r="CI17" s="3" t="s">
        <v>430</v>
      </c>
      <c r="CJ17" s="3" t="s">
        <v>431</v>
      </c>
      <c r="CK17" s="3" t="s">
        <v>430</v>
      </c>
      <c r="CL17" s="3" t="s">
        <v>430</v>
      </c>
      <c r="CM17" s="3" t="s">
        <v>431</v>
      </c>
      <c r="CN17" s="3" t="s">
        <v>431</v>
      </c>
      <c r="CO17" s="3" t="s">
        <v>431</v>
      </c>
      <c r="CP17" s="3" t="s">
        <v>431</v>
      </c>
      <c r="CQ17" s="3" t="s">
        <v>430</v>
      </c>
      <c r="CR17" s="3" t="s">
        <v>431</v>
      </c>
      <c r="CS17" s="3" t="s">
        <v>431</v>
      </c>
      <c r="CT17" s="3" t="s">
        <v>431</v>
      </c>
      <c r="CU17" s="3" t="s">
        <v>431</v>
      </c>
      <c r="CV17" s="3" t="s">
        <v>431</v>
      </c>
      <c r="CW17" s="3" t="s">
        <v>430</v>
      </c>
      <c r="CX17" s="3" t="s">
        <v>430</v>
      </c>
      <c r="CY17" s="3" t="s">
        <v>430</v>
      </c>
      <c r="CZ17" s="3" t="s">
        <v>430</v>
      </c>
      <c r="DA17" s="3" t="s">
        <v>431</v>
      </c>
      <c r="DB17" s="3" t="s">
        <v>431</v>
      </c>
      <c r="DC17" s="3" t="s">
        <v>431</v>
      </c>
      <c r="DD17" s="3" t="s">
        <v>431</v>
      </c>
    </row>
    <row r="18" spans="1:108" x14ac:dyDescent="0.3">
      <c r="A18" s="3" t="s">
        <v>44</v>
      </c>
      <c r="B18" s="3">
        <v>2021</v>
      </c>
      <c r="C18" s="3">
        <v>147</v>
      </c>
      <c r="D18" s="3" t="s">
        <v>433</v>
      </c>
      <c r="E18" s="3">
        <v>20</v>
      </c>
      <c r="F18" s="5">
        <f t="shared" si="0"/>
        <v>20</v>
      </c>
      <c r="G18" s="3">
        <v>1</v>
      </c>
      <c r="H18" s="5">
        <f t="shared" si="1"/>
        <v>1</v>
      </c>
      <c r="I18" s="3">
        <v>0</v>
      </c>
      <c r="J18" s="5">
        <f t="shared" si="2"/>
        <v>0</v>
      </c>
      <c r="K18" s="3">
        <v>36</v>
      </c>
      <c r="L18" s="5">
        <f t="shared" si="3"/>
        <v>36</v>
      </c>
      <c r="M18" s="3">
        <v>23</v>
      </c>
      <c r="N18" s="5">
        <f t="shared" si="4"/>
        <v>23</v>
      </c>
      <c r="O18" s="3" t="s">
        <v>262</v>
      </c>
      <c r="P18" s="3" t="s">
        <v>262</v>
      </c>
      <c r="Q18" s="3" t="s">
        <v>262</v>
      </c>
      <c r="R18" s="3" t="s">
        <v>262</v>
      </c>
      <c r="S18" s="3" t="s">
        <v>262</v>
      </c>
      <c r="T18" s="3" t="s">
        <v>257</v>
      </c>
      <c r="U18" s="3" t="s">
        <v>262</v>
      </c>
      <c r="V18" s="3" t="s">
        <v>262</v>
      </c>
      <c r="W18" s="3" t="s">
        <v>262</v>
      </c>
      <c r="X18" s="3" t="s">
        <v>262</v>
      </c>
      <c r="Y18" s="3" t="s">
        <v>262</v>
      </c>
      <c r="Z18" s="3" t="s">
        <v>262</v>
      </c>
      <c r="AA18" s="3" t="s">
        <v>262</v>
      </c>
      <c r="AB18" s="3" t="s">
        <v>262</v>
      </c>
      <c r="AC18" s="3" t="s">
        <v>262</v>
      </c>
      <c r="AD18" s="3" t="s">
        <v>262</v>
      </c>
      <c r="AE18" s="3" t="s">
        <v>262</v>
      </c>
      <c r="AF18" s="3" t="s">
        <v>262</v>
      </c>
      <c r="AG18" s="3" t="s">
        <v>262</v>
      </c>
      <c r="AH18" s="3" t="s">
        <v>262</v>
      </c>
      <c r="AI18" s="3" t="s">
        <v>262</v>
      </c>
      <c r="AJ18" s="3" t="s">
        <v>269</v>
      </c>
      <c r="AK18" s="3" t="s">
        <v>430</v>
      </c>
      <c r="AL18" s="3" t="s">
        <v>431</v>
      </c>
      <c r="AM18" s="3" t="s">
        <v>430</v>
      </c>
      <c r="AN18" s="3" t="s">
        <v>431</v>
      </c>
      <c r="AO18" s="3" t="s">
        <v>431</v>
      </c>
      <c r="AP18" s="3" t="s">
        <v>430</v>
      </c>
      <c r="AQ18" s="3" t="s">
        <v>430</v>
      </c>
      <c r="AR18" s="3" t="s">
        <v>431</v>
      </c>
      <c r="AS18" s="3" t="s">
        <v>430</v>
      </c>
      <c r="AT18" s="3" t="s">
        <v>430</v>
      </c>
      <c r="AU18" s="3" t="s">
        <v>431</v>
      </c>
      <c r="AV18" s="3" t="s">
        <v>430</v>
      </c>
      <c r="AW18" s="3" t="s">
        <v>430</v>
      </c>
      <c r="AX18" s="3" t="s">
        <v>430</v>
      </c>
      <c r="AY18" s="3" t="s">
        <v>431</v>
      </c>
      <c r="AZ18" s="3" t="s">
        <v>431</v>
      </c>
      <c r="BA18" s="3" t="s">
        <v>430</v>
      </c>
      <c r="BB18" s="3" t="s">
        <v>430</v>
      </c>
      <c r="BC18" s="3" t="s">
        <v>430</v>
      </c>
      <c r="BD18" s="3" t="s">
        <v>430</v>
      </c>
      <c r="BE18" s="3" t="s">
        <v>430</v>
      </c>
      <c r="BF18" s="3" t="s">
        <v>431</v>
      </c>
      <c r="BG18" s="3" t="s">
        <v>430</v>
      </c>
      <c r="BH18" s="3" t="s">
        <v>430</v>
      </c>
      <c r="BI18" s="3" t="s">
        <v>430</v>
      </c>
      <c r="BJ18" s="3" t="s">
        <v>431</v>
      </c>
      <c r="BK18" s="3" t="s">
        <v>431</v>
      </c>
      <c r="BL18" s="3" t="s">
        <v>430</v>
      </c>
      <c r="BM18" s="3" t="s">
        <v>431</v>
      </c>
      <c r="BN18" s="3" t="s">
        <v>430</v>
      </c>
      <c r="BO18" s="3" t="s">
        <v>430</v>
      </c>
      <c r="BP18" s="3" t="s">
        <v>431</v>
      </c>
      <c r="BQ18" s="3" t="s">
        <v>431</v>
      </c>
      <c r="BR18" s="3" t="s">
        <v>431</v>
      </c>
      <c r="BS18" s="3" t="s">
        <v>431</v>
      </c>
      <c r="BT18" s="3" t="s">
        <v>430</v>
      </c>
      <c r="BU18" s="3" t="s">
        <v>431</v>
      </c>
      <c r="BV18" s="3" t="s">
        <v>431</v>
      </c>
      <c r="BW18" s="3" t="s">
        <v>431</v>
      </c>
      <c r="BX18" s="3" t="s">
        <v>430</v>
      </c>
      <c r="BY18" s="3" t="s">
        <v>430</v>
      </c>
      <c r="BZ18" s="3" t="s">
        <v>431</v>
      </c>
      <c r="CA18" s="3" t="s">
        <v>431</v>
      </c>
      <c r="CB18" s="3" t="s">
        <v>430</v>
      </c>
      <c r="CC18" s="3" t="s">
        <v>430</v>
      </c>
      <c r="CD18" s="3" t="s">
        <v>430</v>
      </c>
      <c r="CE18" s="3" t="s">
        <v>430</v>
      </c>
      <c r="CF18" s="3" t="s">
        <v>430</v>
      </c>
      <c r="CG18" s="3" t="s">
        <v>431</v>
      </c>
      <c r="CH18" s="3" t="s">
        <v>430</v>
      </c>
      <c r="CI18" s="3" t="s">
        <v>430</v>
      </c>
      <c r="CJ18" s="3" t="s">
        <v>431</v>
      </c>
      <c r="CK18" s="3" t="s">
        <v>430</v>
      </c>
      <c r="CL18" s="3" t="s">
        <v>431</v>
      </c>
      <c r="CM18" s="3" t="s">
        <v>431</v>
      </c>
      <c r="CN18" s="3" t="s">
        <v>431</v>
      </c>
      <c r="CO18" s="3" t="s">
        <v>431</v>
      </c>
      <c r="CP18" s="3" t="s">
        <v>431</v>
      </c>
      <c r="CQ18" s="3" t="s">
        <v>430</v>
      </c>
      <c r="CR18" s="3" t="s">
        <v>431</v>
      </c>
      <c r="CS18" s="3" t="s">
        <v>431</v>
      </c>
      <c r="CT18" s="3" t="s">
        <v>431</v>
      </c>
      <c r="CU18" s="3" t="s">
        <v>431</v>
      </c>
      <c r="CV18" s="3" t="s">
        <v>431</v>
      </c>
      <c r="CW18" s="3" t="s">
        <v>430</v>
      </c>
      <c r="CX18" s="3" t="s">
        <v>430</v>
      </c>
      <c r="CY18" s="3" t="s">
        <v>430</v>
      </c>
      <c r="CZ18" s="3" t="s">
        <v>430</v>
      </c>
      <c r="DA18" s="3" t="s">
        <v>431</v>
      </c>
      <c r="DB18" s="3" t="s">
        <v>431</v>
      </c>
      <c r="DC18" s="3" t="s">
        <v>431</v>
      </c>
      <c r="DD18" s="3" t="s">
        <v>431</v>
      </c>
    </row>
    <row r="19" spans="1:108" x14ac:dyDescent="0.3">
      <c r="A19" s="3" t="s">
        <v>45</v>
      </c>
      <c r="B19" s="3">
        <v>2021</v>
      </c>
      <c r="C19" s="3">
        <v>147</v>
      </c>
      <c r="D19" s="3" t="s">
        <v>433</v>
      </c>
      <c r="E19" s="3">
        <v>17</v>
      </c>
      <c r="F19" s="5">
        <f t="shared" si="0"/>
        <v>17</v>
      </c>
      <c r="G19" s="3">
        <v>3</v>
      </c>
      <c r="H19" s="5">
        <f t="shared" si="1"/>
        <v>3</v>
      </c>
      <c r="I19" s="3">
        <v>0</v>
      </c>
      <c r="J19" s="5">
        <f t="shared" si="2"/>
        <v>0</v>
      </c>
      <c r="K19" s="3">
        <v>27</v>
      </c>
      <c r="L19" s="5">
        <f t="shared" si="3"/>
        <v>27</v>
      </c>
      <c r="M19" s="3">
        <v>14</v>
      </c>
      <c r="N19" s="5">
        <f t="shared" si="4"/>
        <v>14</v>
      </c>
      <c r="O19" s="3" t="s">
        <v>269</v>
      </c>
      <c r="P19" s="3" t="s">
        <v>257</v>
      </c>
      <c r="Q19" s="3" t="s">
        <v>262</v>
      </c>
      <c r="R19" s="3" t="s">
        <v>262</v>
      </c>
      <c r="S19" s="3" t="s">
        <v>262</v>
      </c>
      <c r="T19" s="3" t="s">
        <v>262</v>
      </c>
      <c r="U19" s="3" t="s">
        <v>262</v>
      </c>
      <c r="V19" s="3" t="s">
        <v>262</v>
      </c>
      <c r="W19" s="3" t="s">
        <v>262</v>
      </c>
      <c r="X19" s="3" t="s">
        <v>262</v>
      </c>
      <c r="Y19" s="3" t="s">
        <v>262</v>
      </c>
      <c r="Z19" s="3" t="s">
        <v>262</v>
      </c>
      <c r="AA19" s="3" t="s">
        <v>262</v>
      </c>
      <c r="AB19" s="3" t="s">
        <v>262</v>
      </c>
      <c r="AC19" s="3" t="s">
        <v>262</v>
      </c>
      <c r="AD19" s="3" t="s">
        <v>262</v>
      </c>
      <c r="AE19" s="3" t="s">
        <v>262</v>
      </c>
      <c r="AF19" s="3" t="s">
        <v>257</v>
      </c>
      <c r="AG19" s="3" t="s">
        <v>269</v>
      </c>
      <c r="AH19" s="3" t="s">
        <v>262</v>
      </c>
      <c r="AI19" s="3" t="s">
        <v>262</v>
      </c>
      <c r="AJ19" s="3" t="s">
        <v>269</v>
      </c>
      <c r="AK19" s="3" t="s">
        <v>430</v>
      </c>
      <c r="AL19" s="3" t="s">
        <v>431</v>
      </c>
      <c r="AM19" s="3" t="s">
        <v>430</v>
      </c>
      <c r="AN19" s="3" t="s">
        <v>430</v>
      </c>
      <c r="AO19" s="3" t="s">
        <v>430</v>
      </c>
      <c r="AP19" s="3" t="s">
        <v>430</v>
      </c>
      <c r="AQ19" s="3" t="s">
        <v>430</v>
      </c>
      <c r="AR19" s="3" t="s">
        <v>431</v>
      </c>
      <c r="AS19" s="3" t="s">
        <v>430</v>
      </c>
      <c r="AT19" s="3" t="s">
        <v>430</v>
      </c>
      <c r="AU19" s="3" t="s">
        <v>430</v>
      </c>
      <c r="AV19" s="3" t="s">
        <v>430</v>
      </c>
      <c r="AW19" s="3" t="s">
        <v>430</v>
      </c>
      <c r="AX19" s="3" t="s">
        <v>430</v>
      </c>
      <c r="AY19" s="3" t="s">
        <v>431</v>
      </c>
      <c r="AZ19" s="3" t="s">
        <v>431</v>
      </c>
      <c r="BA19" s="3" t="s">
        <v>430</v>
      </c>
      <c r="BB19" s="3" t="s">
        <v>430</v>
      </c>
      <c r="BC19" s="3" t="s">
        <v>430</v>
      </c>
      <c r="BD19" s="3" t="s">
        <v>430</v>
      </c>
      <c r="BE19" s="3" t="s">
        <v>430</v>
      </c>
      <c r="BF19" s="3" t="s">
        <v>431</v>
      </c>
      <c r="BG19" s="3" t="s">
        <v>430</v>
      </c>
      <c r="BH19" s="3" t="s">
        <v>430</v>
      </c>
      <c r="BI19" s="3" t="s">
        <v>431</v>
      </c>
      <c r="BJ19" s="3" t="s">
        <v>430</v>
      </c>
      <c r="BK19" s="3" t="s">
        <v>431</v>
      </c>
      <c r="BL19" s="3" t="s">
        <v>430</v>
      </c>
      <c r="BM19" s="3" t="s">
        <v>431</v>
      </c>
      <c r="BN19" s="3" t="s">
        <v>430</v>
      </c>
      <c r="BO19" s="3" t="s">
        <v>430</v>
      </c>
      <c r="BP19" s="3" t="s">
        <v>431</v>
      </c>
      <c r="BQ19" s="3" t="s">
        <v>431</v>
      </c>
      <c r="BR19" s="3" t="s">
        <v>431</v>
      </c>
      <c r="BS19" s="3" t="s">
        <v>430</v>
      </c>
      <c r="BT19" s="3" t="s">
        <v>430</v>
      </c>
      <c r="BU19" s="3" t="s">
        <v>430</v>
      </c>
      <c r="BV19" s="3" t="s">
        <v>430</v>
      </c>
      <c r="BW19" s="3" t="s">
        <v>430</v>
      </c>
      <c r="BX19" s="3" t="s">
        <v>430</v>
      </c>
      <c r="BY19" s="3" t="s">
        <v>430</v>
      </c>
      <c r="BZ19" s="3" t="s">
        <v>430</v>
      </c>
      <c r="CA19" s="3" t="s">
        <v>430</v>
      </c>
      <c r="CB19" s="3" t="s">
        <v>430</v>
      </c>
      <c r="CC19" s="3" t="s">
        <v>430</v>
      </c>
      <c r="CD19" s="3" t="s">
        <v>430</v>
      </c>
      <c r="CE19" s="3" t="s">
        <v>431</v>
      </c>
      <c r="CF19" s="3" t="s">
        <v>430</v>
      </c>
      <c r="CG19" s="3" t="s">
        <v>430</v>
      </c>
      <c r="CH19" s="3" t="s">
        <v>430</v>
      </c>
      <c r="CI19" s="3" t="s">
        <v>430</v>
      </c>
      <c r="CJ19" s="3" t="s">
        <v>431</v>
      </c>
      <c r="CK19" s="3" t="s">
        <v>431</v>
      </c>
      <c r="CL19" s="3" t="s">
        <v>430</v>
      </c>
      <c r="CM19" s="3" t="s">
        <v>431</v>
      </c>
      <c r="CN19" s="3" t="s">
        <v>431</v>
      </c>
      <c r="CO19" s="3" t="s">
        <v>431</v>
      </c>
      <c r="CP19" s="3" t="s">
        <v>431</v>
      </c>
      <c r="CQ19" s="3" t="s">
        <v>430</v>
      </c>
      <c r="CR19" s="3" t="s">
        <v>431</v>
      </c>
      <c r="CS19" s="3" t="s">
        <v>431</v>
      </c>
      <c r="CT19" s="3" t="s">
        <v>431</v>
      </c>
      <c r="CU19" s="3" t="s">
        <v>431</v>
      </c>
      <c r="CV19" s="3" t="s">
        <v>431</v>
      </c>
      <c r="CW19" s="3" t="s">
        <v>430</v>
      </c>
      <c r="CX19" s="3" t="s">
        <v>430</v>
      </c>
      <c r="CY19" s="3" t="s">
        <v>430</v>
      </c>
      <c r="CZ19" s="3" t="s">
        <v>430</v>
      </c>
      <c r="DA19" s="3" t="s">
        <v>431</v>
      </c>
      <c r="DB19" s="3" t="s">
        <v>431</v>
      </c>
      <c r="DC19" s="3" t="s">
        <v>431</v>
      </c>
      <c r="DD19" s="3" t="s">
        <v>431</v>
      </c>
    </row>
    <row r="20" spans="1:108" x14ac:dyDescent="0.3">
      <c r="A20" s="3" t="s">
        <v>46</v>
      </c>
      <c r="B20" s="3">
        <v>2021</v>
      </c>
      <c r="C20" s="3">
        <v>383</v>
      </c>
      <c r="D20" s="3" t="s">
        <v>433</v>
      </c>
      <c r="E20" s="3">
        <v>20</v>
      </c>
      <c r="F20" s="5">
        <f t="shared" si="0"/>
        <v>20</v>
      </c>
      <c r="G20" s="3">
        <v>1</v>
      </c>
      <c r="H20" s="5">
        <f t="shared" si="1"/>
        <v>1</v>
      </c>
      <c r="I20" s="3">
        <v>0</v>
      </c>
      <c r="J20" s="5">
        <f t="shared" si="2"/>
        <v>0</v>
      </c>
      <c r="K20" s="3">
        <v>29</v>
      </c>
      <c r="L20" s="5">
        <f t="shared" si="3"/>
        <v>29</v>
      </c>
      <c r="M20" s="3">
        <v>16</v>
      </c>
      <c r="N20" s="5">
        <f t="shared" si="4"/>
        <v>16</v>
      </c>
      <c r="O20" s="3" t="s">
        <v>262</v>
      </c>
      <c r="P20" s="3" t="s">
        <v>269</v>
      </c>
      <c r="Q20" s="3" t="s">
        <v>262</v>
      </c>
      <c r="R20" s="3" t="s">
        <v>262</v>
      </c>
      <c r="S20" s="3" t="s">
        <v>262</v>
      </c>
      <c r="T20" s="3" t="s">
        <v>257</v>
      </c>
      <c r="U20" s="3" t="s">
        <v>262</v>
      </c>
      <c r="V20" s="3" t="s">
        <v>262</v>
      </c>
      <c r="W20" s="3" t="s">
        <v>262</v>
      </c>
      <c r="X20" s="3" t="s">
        <v>262</v>
      </c>
      <c r="Y20" s="3" t="s">
        <v>262</v>
      </c>
      <c r="Z20" s="3" t="s">
        <v>262</v>
      </c>
      <c r="AA20" s="3" t="s">
        <v>262</v>
      </c>
      <c r="AB20" s="3" t="s">
        <v>262</v>
      </c>
      <c r="AC20" s="3" t="s">
        <v>262</v>
      </c>
      <c r="AD20" s="3" t="s">
        <v>262</v>
      </c>
      <c r="AE20" s="3" t="s">
        <v>262</v>
      </c>
      <c r="AF20" s="3" t="s">
        <v>262</v>
      </c>
      <c r="AG20" s="3" t="s">
        <v>262</v>
      </c>
      <c r="AH20" s="3" t="s">
        <v>262</v>
      </c>
      <c r="AI20" s="3" t="s">
        <v>262</v>
      </c>
      <c r="AJ20" s="3" t="s">
        <v>262</v>
      </c>
      <c r="AK20" s="3" t="s">
        <v>430</v>
      </c>
      <c r="AL20" s="3" t="s">
        <v>430</v>
      </c>
      <c r="AM20" s="3" t="s">
        <v>430</v>
      </c>
      <c r="AN20" s="3" t="s">
        <v>431</v>
      </c>
      <c r="AO20" s="3" t="s">
        <v>431</v>
      </c>
      <c r="AP20" s="3" t="s">
        <v>431</v>
      </c>
      <c r="AQ20" s="3" t="s">
        <v>431</v>
      </c>
      <c r="AR20" s="3" t="s">
        <v>430</v>
      </c>
      <c r="AS20" s="3" t="s">
        <v>430</v>
      </c>
      <c r="AT20" s="3" t="s">
        <v>430</v>
      </c>
      <c r="AU20" s="3" t="s">
        <v>430</v>
      </c>
      <c r="AV20" s="3" t="s">
        <v>430</v>
      </c>
      <c r="AW20" s="3" t="s">
        <v>430</v>
      </c>
      <c r="AX20" s="3" t="s">
        <v>431</v>
      </c>
      <c r="AY20" s="3" t="s">
        <v>430</v>
      </c>
      <c r="AZ20" s="3" t="s">
        <v>431</v>
      </c>
      <c r="BA20" s="3" t="s">
        <v>431</v>
      </c>
      <c r="BB20" s="3" t="s">
        <v>430</v>
      </c>
      <c r="BC20" s="3" t="s">
        <v>431</v>
      </c>
      <c r="BD20" s="3" t="s">
        <v>430</v>
      </c>
      <c r="BE20" s="3" t="s">
        <v>430</v>
      </c>
      <c r="BF20" s="3" t="s">
        <v>430</v>
      </c>
      <c r="BG20" s="3" t="s">
        <v>431</v>
      </c>
      <c r="BH20" s="3" t="s">
        <v>430</v>
      </c>
      <c r="BI20" s="3" t="s">
        <v>430</v>
      </c>
      <c r="BJ20" s="3" t="s">
        <v>430</v>
      </c>
      <c r="BK20" s="3" t="s">
        <v>430</v>
      </c>
      <c r="BL20" s="3" t="s">
        <v>430</v>
      </c>
      <c r="BM20" s="3" t="s">
        <v>431</v>
      </c>
      <c r="BN20" s="3" t="s">
        <v>430</v>
      </c>
      <c r="BO20" s="3" t="s">
        <v>431</v>
      </c>
      <c r="BP20" s="3" t="s">
        <v>430</v>
      </c>
      <c r="BQ20" s="3" t="s">
        <v>431</v>
      </c>
      <c r="BR20" s="3" t="s">
        <v>431</v>
      </c>
      <c r="BS20" s="3" t="s">
        <v>431</v>
      </c>
      <c r="BT20" s="3" t="s">
        <v>430</v>
      </c>
      <c r="BU20" s="3" t="s">
        <v>430</v>
      </c>
      <c r="BV20" s="3" t="s">
        <v>430</v>
      </c>
      <c r="BW20" s="3" t="s">
        <v>430</v>
      </c>
      <c r="BX20" s="3" t="s">
        <v>430</v>
      </c>
      <c r="BY20" s="3" t="s">
        <v>430</v>
      </c>
      <c r="BZ20" s="3" t="s">
        <v>430</v>
      </c>
      <c r="CA20" s="3" t="s">
        <v>430</v>
      </c>
      <c r="CB20" s="3" t="s">
        <v>430</v>
      </c>
      <c r="CC20" s="3" t="s">
        <v>431</v>
      </c>
      <c r="CD20" s="3" t="s">
        <v>430</v>
      </c>
      <c r="CE20" s="3" t="s">
        <v>430</v>
      </c>
      <c r="CF20" s="3" t="s">
        <v>430</v>
      </c>
      <c r="CG20" s="3" t="s">
        <v>431</v>
      </c>
      <c r="CH20" s="3" t="s">
        <v>430</v>
      </c>
      <c r="CI20" s="3" t="s">
        <v>430</v>
      </c>
      <c r="CJ20" s="3" t="s">
        <v>430</v>
      </c>
      <c r="CK20" s="3" t="s">
        <v>430</v>
      </c>
      <c r="CL20" s="3" t="s">
        <v>430</v>
      </c>
      <c r="CM20" s="3" t="s">
        <v>431</v>
      </c>
      <c r="CN20" s="3" t="s">
        <v>431</v>
      </c>
      <c r="CO20" s="3" t="s">
        <v>431</v>
      </c>
      <c r="CP20" s="3" t="s">
        <v>431</v>
      </c>
      <c r="CQ20" s="3" t="s">
        <v>430</v>
      </c>
      <c r="CR20" s="3" t="s">
        <v>431</v>
      </c>
      <c r="CS20" s="3" t="s">
        <v>431</v>
      </c>
      <c r="CT20" s="3" t="s">
        <v>431</v>
      </c>
      <c r="CU20" s="3" t="s">
        <v>431</v>
      </c>
      <c r="CV20" s="3" t="s">
        <v>431</v>
      </c>
      <c r="CW20" s="3" t="s">
        <v>430</v>
      </c>
      <c r="CX20" s="3" t="s">
        <v>430</v>
      </c>
      <c r="CY20" s="3" t="s">
        <v>430</v>
      </c>
      <c r="CZ20" s="3" t="s">
        <v>430</v>
      </c>
      <c r="DA20" s="3" t="s">
        <v>431</v>
      </c>
      <c r="DB20" s="3" t="s">
        <v>431</v>
      </c>
      <c r="DC20" s="3" t="s">
        <v>431</v>
      </c>
      <c r="DD20" s="3" t="s">
        <v>431</v>
      </c>
    </row>
    <row r="21" spans="1:108" x14ac:dyDescent="0.3">
      <c r="A21" s="3" t="s">
        <v>47</v>
      </c>
      <c r="B21" s="3">
        <v>2021</v>
      </c>
      <c r="C21" s="3">
        <v>147</v>
      </c>
      <c r="D21" s="3" t="s">
        <v>433</v>
      </c>
      <c r="E21" s="3">
        <v>9</v>
      </c>
      <c r="F21" s="5">
        <f t="shared" si="0"/>
        <v>9</v>
      </c>
      <c r="G21" s="3">
        <v>0</v>
      </c>
      <c r="H21" s="5">
        <f t="shared" si="1"/>
        <v>0</v>
      </c>
      <c r="I21" s="3">
        <v>1</v>
      </c>
      <c r="J21" s="5">
        <f t="shared" si="2"/>
        <v>1</v>
      </c>
      <c r="K21" s="3">
        <v>18</v>
      </c>
      <c r="L21" s="5">
        <f t="shared" si="3"/>
        <v>18</v>
      </c>
      <c r="M21" s="3">
        <v>5</v>
      </c>
      <c r="N21" s="5">
        <f t="shared" si="4"/>
        <v>5</v>
      </c>
      <c r="O21" s="3" t="s">
        <v>257</v>
      </c>
      <c r="P21" s="3" t="s">
        <v>257</v>
      </c>
      <c r="Q21" s="3" t="s">
        <v>257</v>
      </c>
      <c r="R21" s="3" t="s">
        <v>257</v>
      </c>
      <c r="S21" s="3" t="s">
        <v>257</v>
      </c>
      <c r="T21" s="3" t="s">
        <v>257</v>
      </c>
      <c r="U21" s="3" t="s">
        <v>262</v>
      </c>
      <c r="V21" s="3" t="s">
        <v>262</v>
      </c>
      <c r="W21" s="3" t="s">
        <v>262</v>
      </c>
      <c r="X21" s="3" t="s">
        <v>257</v>
      </c>
      <c r="Y21" s="3" t="s">
        <v>262</v>
      </c>
      <c r="Z21" s="3" t="s">
        <v>262</v>
      </c>
      <c r="AA21" s="3" t="s">
        <v>283</v>
      </c>
      <c r="AB21" s="3" t="s">
        <v>262</v>
      </c>
      <c r="AC21" s="3" t="s">
        <v>257</v>
      </c>
      <c r="AD21" s="3" t="s">
        <v>262</v>
      </c>
      <c r="AE21" s="3" t="s">
        <v>257</v>
      </c>
      <c r="AF21" s="3" t="s">
        <v>257</v>
      </c>
      <c r="AG21" s="3" t="s">
        <v>262</v>
      </c>
      <c r="AH21" s="3" t="s">
        <v>257</v>
      </c>
      <c r="AI21" s="3" t="s">
        <v>262</v>
      </c>
      <c r="AJ21" s="3" t="s">
        <v>257</v>
      </c>
      <c r="AK21" s="3" t="s">
        <v>430</v>
      </c>
      <c r="AL21" s="3" t="s">
        <v>430</v>
      </c>
      <c r="AM21" s="3" t="s">
        <v>430</v>
      </c>
      <c r="AN21" s="3" t="s">
        <v>430</v>
      </c>
      <c r="AO21" s="3" t="s">
        <v>430</v>
      </c>
      <c r="AP21" s="3" t="s">
        <v>430</v>
      </c>
      <c r="AQ21" s="3" t="s">
        <v>430</v>
      </c>
      <c r="AR21" s="3" t="s">
        <v>430</v>
      </c>
      <c r="AS21" s="3" t="s">
        <v>430</v>
      </c>
      <c r="AT21" s="3" t="s">
        <v>430</v>
      </c>
      <c r="AU21" s="3" t="s">
        <v>430</v>
      </c>
      <c r="AV21" s="3" t="s">
        <v>430</v>
      </c>
      <c r="AW21" s="3" t="s">
        <v>430</v>
      </c>
      <c r="AX21" s="3" t="s">
        <v>431</v>
      </c>
      <c r="AY21" s="3" t="s">
        <v>431</v>
      </c>
      <c r="AZ21" s="3" t="s">
        <v>430</v>
      </c>
      <c r="BA21" s="3" t="s">
        <v>430</v>
      </c>
      <c r="BB21" s="3" t="s">
        <v>430</v>
      </c>
      <c r="BC21" s="3" t="s">
        <v>430</v>
      </c>
      <c r="BD21" s="3" t="s">
        <v>430</v>
      </c>
      <c r="BE21" s="3" t="s">
        <v>430</v>
      </c>
      <c r="BF21" s="3" t="s">
        <v>430</v>
      </c>
      <c r="BG21" s="3" t="s">
        <v>430</v>
      </c>
      <c r="BH21" s="3" t="s">
        <v>430</v>
      </c>
      <c r="BI21" s="3" t="s">
        <v>430</v>
      </c>
      <c r="BJ21" s="3" t="s">
        <v>430</v>
      </c>
      <c r="BK21" s="3" t="s">
        <v>430</v>
      </c>
      <c r="BL21" s="3" t="s">
        <v>430</v>
      </c>
      <c r="BM21" s="3" t="s">
        <v>431</v>
      </c>
      <c r="BN21" s="3" t="s">
        <v>430</v>
      </c>
      <c r="BO21" s="3" t="s">
        <v>430</v>
      </c>
      <c r="BP21" s="3" t="s">
        <v>430</v>
      </c>
      <c r="BQ21" s="3" t="s">
        <v>431</v>
      </c>
      <c r="BR21" s="3" t="s">
        <v>431</v>
      </c>
      <c r="BS21" s="3" t="s">
        <v>430</v>
      </c>
      <c r="BT21" s="3" t="s">
        <v>430</v>
      </c>
      <c r="BU21" s="3" t="s">
        <v>430</v>
      </c>
      <c r="BV21" s="3" t="s">
        <v>430</v>
      </c>
      <c r="BW21" s="3" t="s">
        <v>430</v>
      </c>
      <c r="BX21" s="3" t="s">
        <v>430</v>
      </c>
      <c r="BY21" s="3" t="s">
        <v>430</v>
      </c>
      <c r="BZ21" s="3" t="s">
        <v>430</v>
      </c>
      <c r="CA21" s="3" t="s">
        <v>430</v>
      </c>
      <c r="CB21" s="3" t="s">
        <v>430</v>
      </c>
      <c r="CC21" s="3" t="s">
        <v>430</v>
      </c>
      <c r="CD21" s="3" t="s">
        <v>430</v>
      </c>
      <c r="CE21" s="3" t="s">
        <v>430</v>
      </c>
      <c r="CF21" s="3" t="s">
        <v>430</v>
      </c>
      <c r="CG21" s="3" t="s">
        <v>430</v>
      </c>
      <c r="CH21" s="3" t="s">
        <v>430</v>
      </c>
      <c r="CI21" s="3" t="s">
        <v>430</v>
      </c>
      <c r="CJ21" s="3" t="s">
        <v>430</v>
      </c>
      <c r="CK21" s="3" t="s">
        <v>430</v>
      </c>
      <c r="CL21" s="3" t="s">
        <v>430</v>
      </c>
      <c r="CM21" s="3" t="s">
        <v>431</v>
      </c>
      <c r="CN21" s="3" t="s">
        <v>431</v>
      </c>
      <c r="CO21" s="3" t="s">
        <v>431</v>
      </c>
      <c r="CP21" s="3" t="s">
        <v>431</v>
      </c>
      <c r="CQ21" s="3" t="s">
        <v>430</v>
      </c>
      <c r="CR21" s="3" t="s">
        <v>431</v>
      </c>
      <c r="CS21" s="3" t="s">
        <v>431</v>
      </c>
      <c r="CT21" s="3" t="s">
        <v>431</v>
      </c>
      <c r="CU21" s="3" t="s">
        <v>431</v>
      </c>
      <c r="CV21" s="3" t="s">
        <v>431</v>
      </c>
      <c r="CW21" s="3" t="s">
        <v>430</v>
      </c>
      <c r="CX21" s="3" t="s">
        <v>430</v>
      </c>
      <c r="CY21" s="3" t="s">
        <v>430</v>
      </c>
      <c r="CZ21" s="3" t="s">
        <v>430</v>
      </c>
      <c r="DA21" s="3" t="s">
        <v>431</v>
      </c>
      <c r="DB21" s="3" t="s">
        <v>431</v>
      </c>
      <c r="DC21" s="3" t="s">
        <v>431</v>
      </c>
      <c r="DD21" s="3" t="s">
        <v>431</v>
      </c>
    </row>
    <row r="22" spans="1:108" x14ac:dyDescent="0.3">
      <c r="A22" s="3" t="s">
        <v>48</v>
      </c>
      <c r="B22" s="3">
        <v>2021</v>
      </c>
      <c r="C22" s="3">
        <v>1128</v>
      </c>
      <c r="D22" s="3" t="s">
        <v>435</v>
      </c>
      <c r="E22" s="3">
        <v>13</v>
      </c>
      <c r="F22" s="5">
        <f t="shared" si="0"/>
        <v>13</v>
      </c>
      <c r="G22" s="3">
        <v>0</v>
      </c>
      <c r="H22" s="5">
        <f t="shared" si="1"/>
        <v>0</v>
      </c>
      <c r="I22" s="3">
        <v>0</v>
      </c>
      <c r="J22" s="5">
        <f t="shared" si="2"/>
        <v>0</v>
      </c>
      <c r="K22" s="3">
        <v>30</v>
      </c>
      <c r="L22" s="5">
        <f t="shared" si="3"/>
        <v>30</v>
      </c>
      <c r="M22" s="3">
        <v>17</v>
      </c>
      <c r="N22" s="5">
        <f t="shared" si="4"/>
        <v>17</v>
      </c>
      <c r="O22" s="3" t="s">
        <v>257</v>
      </c>
      <c r="P22" s="3" t="s">
        <v>257</v>
      </c>
      <c r="Q22" s="3" t="s">
        <v>257</v>
      </c>
      <c r="R22" s="3" t="s">
        <v>257</v>
      </c>
      <c r="S22" s="3" t="s">
        <v>257</v>
      </c>
      <c r="T22" s="3" t="s">
        <v>257</v>
      </c>
      <c r="U22" s="3" t="s">
        <v>262</v>
      </c>
      <c r="V22" s="3" t="s">
        <v>262</v>
      </c>
      <c r="W22" s="3" t="s">
        <v>262</v>
      </c>
      <c r="X22" s="3" t="s">
        <v>262</v>
      </c>
      <c r="Y22" s="3" t="s">
        <v>262</v>
      </c>
      <c r="Z22" s="3" t="s">
        <v>262</v>
      </c>
      <c r="AA22" s="3" t="s">
        <v>262</v>
      </c>
      <c r="AB22" s="3" t="s">
        <v>262</v>
      </c>
      <c r="AC22" s="3" t="s">
        <v>257</v>
      </c>
      <c r="AD22" s="3" t="s">
        <v>262</v>
      </c>
      <c r="AE22" s="3" t="s">
        <v>257</v>
      </c>
      <c r="AF22" s="3" t="s">
        <v>262</v>
      </c>
      <c r="AG22" s="3" t="s">
        <v>262</v>
      </c>
      <c r="AH22" s="3" t="s">
        <v>262</v>
      </c>
      <c r="AI22" s="3" t="s">
        <v>262</v>
      </c>
      <c r="AJ22" s="3" t="s">
        <v>257</v>
      </c>
      <c r="AK22" s="3" t="s">
        <v>430</v>
      </c>
      <c r="AL22" s="3" t="s">
        <v>430</v>
      </c>
      <c r="AM22" s="3" t="s">
        <v>430</v>
      </c>
      <c r="AN22" s="3" t="s">
        <v>431</v>
      </c>
      <c r="AO22" s="3" t="s">
        <v>430</v>
      </c>
      <c r="AP22" s="3" t="s">
        <v>431</v>
      </c>
      <c r="AQ22" s="3" t="s">
        <v>431</v>
      </c>
      <c r="AR22" s="3" t="s">
        <v>431</v>
      </c>
      <c r="AS22" s="3" t="s">
        <v>431</v>
      </c>
      <c r="AT22" s="3" t="s">
        <v>430</v>
      </c>
      <c r="AU22" s="3" t="s">
        <v>430</v>
      </c>
      <c r="AV22" s="3" t="s">
        <v>430</v>
      </c>
      <c r="AW22" s="3" t="s">
        <v>430</v>
      </c>
      <c r="AX22" s="3" t="s">
        <v>430</v>
      </c>
      <c r="AY22" s="3" t="s">
        <v>431</v>
      </c>
      <c r="AZ22" s="3" t="s">
        <v>431</v>
      </c>
      <c r="BA22" s="3" t="s">
        <v>430</v>
      </c>
      <c r="BB22" s="3" t="s">
        <v>431</v>
      </c>
      <c r="BC22" s="3" t="s">
        <v>430</v>
      </c>
      <c r="BD22" s="3" t="s">
        <v>430</v>
      </c>
      <c r="BE22" s="3" t="s">
        <v>430</v>
      </c>
      <c r="BF22" s="3" t="s">
        <v>430</v>
      </c>
      <c r="BG22" s="3" t="s">
        <v>430</v>
      </c>
      <c r="BH22" s="3" t="s">
        <v>430</v>
      </c>
      <c r="BI22" s="3" t="s">
        <v>430</v>
      </c>
      <c r="BJ22" s="3" t="s">
        <v>430</v>
      </c>
      <c r="BK22" s="3" t="s">
        <v>430</v>
      </c>
      <c r="BL22" s="3" t="s">
        <v>430</v>
      </c>
      <c r="BM22" s="3" t="s">
        <v>431</v>
      </c>
      <c r="BN22" s="3" t="s">
        <v>430</v>
      </c>
      <c r="BO22" s="3" t="s">
        <v>430</v>
      </c>
      <c r="BP22" s="3" t="s">
        <v>431</v>
      </c>
      <c r="BQ22" s="3" t="s">
        <v>431</v>
      </c>
      <c r="BR22" s="3" t="s">
        <v>430</v>
      </c>
      <c r="BS22" s="3" t="s">
        <v>431</v>
      </c>
      <c r="BT22" s="3" t="s">
        <v>430</v>
      </c>
      <c r="BU22" s="3" t="s">
        <v>430</v>
      </c>
      <c r="BV22" s="3" t="s">
        <v>430</v>
      </c>
      <c r="BW22" s="3" t="s">
        <v>430</v>
      </c>
      <c r="BX22" s="3" t="s">
        <v>431</v>
      </c>
      <c r="BY22" s="3" t="s">
        <v>430</v>
      </c>
      <c r="BZ22" s="3" t="s">
        <v>431</v>
      </c>
      <c r="CA22" s="3" t="s">
        <v>431</v>
      </c>
      <c r="CB22" s="3" t="s">
        <v>430</v>
      </c>
      <c r="CC22" s="3" t="s">
        <v>431</v>
      </c>
      <c r="CD22" s="3" t="s">
        <v>430</v>
      </c>
      <c r="CE22" s="3" t="s">
        <v>430</v>
      </c>
      <c r="CF22" s="3" t="s">
        <v>430</v>
      </c>
      <c r="CG22" s="3" t="s">
        <v>430</v>
      </c>
      <c r="CH22" s="3" t="s">
        <v>430</v>
      </c>
      <c r="CI22" s="3" t="s">
        <v>430</v>
      </c>
      <c r="CJ22" s="3" t="s">
        <v>431</v>
      </c>
      <c r="CK22" s="3" t="s">
        <v>430</v>
      </c>
      <c r="CL22" s="3" t="s">
        <v>430</v>
      </c>
      <c r="CM22" s="3" t="s">
        <v>431</v>
      </c>
      <c r="CN22" s="3" t="s">
        <v>431</v>
      </c>
      <c r="CO22" s="3" t="s">
        <v>431</v>
      </c>
      <c r="CP22" s="3" t="s">
        <v>431</v>
      </c>
      <c r="CQ22" s="3" t="s">
        <v>430</v>
      </c>
      <c r="CR22" s="3" t="s">
        <v>431</v>
      </c>
      <c r="CS22" s="3" t="s">
        <v>431</v>
      </c>
      <c r="CT22" s="3" t="s">
        <v>431</v>
      </c>
      <c r="CU22" s="3" t="s">
        <v>431</v>
      </c>
      <c r="CV22" s="3" t="s">
        <v>431</v>
      </c>
      <c r="CW22" s="3" t="s">
        <v>430</v>
      </c>
      <c r="CX22" s="3" t="s">
        <v>430</v>
      </c>
      <c r="CY22" s="3" t="s">
        <v>430</v>
      </c>
      <c r="CZ22" s="3" t="s">
        <v>430</v>
      </c>
      <c r="DA22" s="3" t="s">
        <v>431</v>
      </c>
      <c r="DB22" s="3" t="s">
        <v>431</v>
      </c>
      <c r="DC22" s="3" t="s">
        <v>431</v>
      </c>
      <c r="DD22" s="3" t="s">
        <v>431</v>
      </c>
    </row>
    <row r="23" spans="1:108" x14ac:dyDescent="0.3">
      <c r="A23" s="3" t="s">
        <v>49</v>
      </c>
      <c r="B23" s="3">
        <v>2021</v>
      </c>
      <c r="C23" s="3">
        <v>231</v>
      </c>
      <c r="D23" s="3" t="s">
        <v>433</v>
      </c>
      <c r="E23" s="3">
        <v>21</v>
      </c>
      <c r="F23" s="5">
        <f t="shared" si="0"/>
        <v>21</v>
      </c>
      <c r="G23" s="3">
        <v>0</v>
      </c>
      <c r="H23" s="5">
        <f t="shared" si="1"/>
        <v>0</v>
      </c>
      <c r="I23" s="3">
        <v>0</v>
      </c>
      <c r="J23" s="5">
        <f t="shared" si="2"/>
        <v>0</v>
      </c>
      <c r="K23" s="3">
        <v>39</v>
      </c>
      <c r="L23" s="5">
        <f t="shared" si="3"/>
        <v>39</v>
      </c>
      <c r="M23" s="3">
        <v>26</v>
      </c>
      <c r="N23" s="5">
        <f t="shared" si="4"/>
        <v>26</v>
      </c>
      <c r="O23" s="3" t="s">
        <v>262</v>
      </c>
      <c r="P23" s="3" t="s">
        <v>262</v>
      </c>
      <c r="Q23" s="3" t="s">
        <v>262</v>
      </c>
      <c r="R23" s="3" t="s">
        <v>262</v>
      </c>
      <c r="S23" s="3" t="s">
        <v>262</v>
      </c>
      <c r="T23" s="3" t="s">
        <v>262</v>
      </c>
      <c r="U23" s="3" t="s">
        <v>262</v>
      </c>
      <c r="V23" s="3" t="s">
        <v>262</v>
      </c>
      <c r="W23" s="3" t="s">
        <v>262</v>
      </c>
      <c r="X23" s="3" t="s">
        <v>262</v>
      </c>
      <c r="Y23" s="3" t="s">
        <v>262</v>
      </c>
      <c r="Z23" s="3" t="s">
        <v>262</v>
      </c>
      <c r="AA23" s="3" t="s">
        <v>262</v>
      </c>
      <c r="AB23" s="3" t="s">
        <v>262</v>
      </c>
      <c r="AC23" s="3" t="s">
        <v>262</v>
      </c>
      <c r="AD23" s="3" t="s">
        <v>262</v>
      </c>
      <c r="AE23" s="3" t="s">
        <v>262</v>
      </c>
      <c r="AF23" s="3" t="s">
        <v>262</v>
      </c>
      <c r="AG23" s="3" t="s">
        <v>262</v>
      </c>
      <c r="AH23" s="3" t="s">
        <v>262</v>
      </c>
      <c r="AI23" s="3" t="s">
        <v>262</v>
      </c>
      <c r="AJ23" s="3" t="s">
        <v>257</v>
      </c>
      <c r="AK23" s="3" t="s">
        <v>431</v>
      </c>
      <c r="AL23" s="3" t="s">
        <v>431</v>
      </c>
      <c r="AM23" s="3" t="s">
        <v>430</v>
      </c>
      <c r="AN23" s="3" t="s">
        <v>431</v>
      </c>
      <c r="AO23" s="3" t="s">
        <v>430</v>
      </c>
      <c r="AP23" s="3" t="s">
        <v>431</v>
      </c>
      <c r="AQ23" s="3" t="s">
        <v>431</v>
      </c>
      <c r="AR23" s="3" t="s">
        <v>431</v>
      </c>
      <c r="AS23" s="3" t="s">
        <v>431</v>
      </c>
      <c r="AT23" s="3" t="s">
        <v>430</v>
      </c>
      <c r="AU23" s="3" t="s">
        <v>430</v>
      </c>
      <c r="AV23" s="3" t="s">
        <v>431</v>
      </c>
      <c r="AW23" s="3" t="s">
        <v>430</v>
      </c>
      <c r="AX23" s="3" t="s">
        <v>431</v>
      </c>
      <c r="AY23" s="3" t="s">
        <v>431</v>
      </c>
      <c r="AZ23" s="3" t="s">
        <v>431</v>
      </c>
      <c r="BA23" s="3" t="s">
        <v>430</v>
      </c>
      <c r="BB23" s="3" t="s">
        <v>430</v>
      </c>
      <c r="BC23" s="3" t="s">
        <v>430</v>
      </c>
      <c r="BD23" s="3" t="s">
        <v>430</v>
      </c>
      <c r="BE23" s="3" t="s">
        <v>430</v>
      </c>
      <c r="BF23" s="3" t="s">
        <v>430</v>
      </c>
      <c r="BG23" s="3" t="s">
        <v>430</v>
      </c>
      <c r="BH23" s="3" t="s">
        <v>430</v>
      </c>
      <c r="BI23" s="3" t="s">
        <v>431</v>
      </c>
      <c r="BJ23" s="3" t="s">
        <v>431</v>
      </c>
      <c r="BK23" s="3" t="s">
        <v>431</v>
      </c>
      <c r="BL23" s="3" t="s">
        <v>430</v>
      </c>
      <c r="BM23" s="3" t="s">
        <v>431</v>
      </c>
      <c r="BN23" s="3" t="s">
        <v>430</v>
      </c>
      <c r="BO23" s="3" t="s">
        <v>431</v>
      </c>
      <c r="BP23" s="3" t="s">
        <v>430</v>
      </c>
      <c r="BQ23" s="3" t="s">
        <v>431</v>
      </c>
      <c r="BR23" s="3" t="s">
        <v>431</v>
      </c>
      <c r="BS23" s="3" t="s">
        <v>431</v>
      </c>
      <c r="BT23" s="3" t="s">
        <v>430</v>
      </c>
      <c r="BU23" s="3" t="s">
        <v>430</v>
      </c>
      <c r="BV23" s="3" t="s">
        <v>430</v>
      </c>
      <c r="BW23" s="3" t="s">
        <v>430</v>
      </c>
      <c r="BX23" s="3" t="s">
        <v>431</v>
      </c>
      <c r="BY23" s="3" t="s">
        <v>431</v>
      </c>
      <c r="BZ23" s="3" t="s">
        <v>431</v>
      </c>
      <c r="CA23" s="3" t="s">
        <v>431</v>
      </c>
      <c r="CB23" s="3" t="s">
        <v>430</v>
      </c>
      <c r="CC23" s="3" t="s">
        <v>431</v>
      </c>
      <c r="CD23" s="3" t="s">
        <v>430</v>
      </c>
      <c r="CE23" s="3" t="s">
        <v>430</v>
      </c>
      <c r="CF23" s="3" t="s">
        <v>430</v>
      </c>
      <c r="CG23" s="3" t="s">
        <v>430</v>
      </c>
      <c r="CH23" s="3" t="s">
        <v>430</v>
      </c>
      <c r="CI23" s="3" t="s">
        <v>430</v>
      </c>
      <c r="CJ23" s="3" t="s">
        <v>431</v>
      </c>
      <c r="CK23" s="3" t="s">
        <v>430</v>
      </c>
      <c r="CL23" s="3" t="s">
        <v>431</v>
      </c>
      <c r="CM23" s="3" t="s">
        <v>431</v>
      </c>
      <c r="CN23" s="3" t="s">
        <v>431</v>
      </c>
      <c r="CO23" s="3" t="s">
        <v>431</v>
      </c>
      <c r="CP23" s="3" t="s">
        <v>431</v>
      </c>
      <c r="CQ23" s="3" t="s">
        <v>430</v>
      </c>
      <c r="CR23" s="3" t="s">
        <v>431</v>
      </c>
      <c r="CS23" s="3" t="s">
        <v>431</v>
      </c>
      <c r="CT23" s="3" t="s">
        <v>431</v>
      </c>
      <c r="CU23" s="3" t="s">
        <v>431</v>
      </c>
      <c r="CV23" s="3" t="s">
        <v>431</v>
      </c>
      <c r="CW23" s="3" t="s">
        <v>430</v>
      </c>
      <c r="CX23" s="3" t="s">
        <v>430</v>
      </c>
      <c r="CY23" s="3" t="s">
        <v>430</v>
      </c>
      <c r="CZ23" s="3" t="s">
        <v>430</v>
      </c>
      <c r="DA23" s="3" t="s">
        <v>431</v>
      </c>
      <c r="DB23" s="3" t="s">
        <v>431</v>
      </c>
      <c r="DC23" s="3" t="s">
        <v>431</v>
      </c>
      <c r="DD23" s="3" t="s">
        <v>431</v>
      </c>
    </row>
    <row r="24" spans="1:108" x14ac:dyDescent="0.3">
      <c r="A24" s="3" t="s">
        <v>50</v>
      </c>
      <c r="B24" s="3">
        <v>2021</v>
      </c>
      <c r="C24" s="3">
        <v>101</v>
      </c>
      <c r="D24" s="3" t="s">
        <v>433</v>
      </c>
      <c r="E24" s="3">
        <v>19</v>
      </c>
      <c r="F24" s="5">
        <f t="shared" si="0"/>
        <v>19</v>
      </c>
      <c r="G24" s="3">
        <v>0</v>
      </c>
      <c r="H24" s="5">
        <f t="shared" si="1"/>
        <v>0</v>
      </c>
      <c r="I24" s="3">
        <v>0</v>
      </c>
      <c r="J24" s="5">
        <f t="shared" si="2"/>
        <v>0</v>
      </c>
      <c r="K24" s="3">
        <v>33</v>
      </c>
      <c r="L24" s="5">
        <f t="shared" si="3"/>
        <v>33</v>
      </c>
      <c r="M24" s="3">
        <v>20</v>
      </c>
      <c r="N24" s="5">
        <f t="shared" si="4"/>
        <v>20</v>
      </c>
      <c r="O24" s="3" t="s">
        <v>257</v>
      </c>
      <c r="P24" s="3" t="s">
        <v>257</v>
      </c>
      <c r="Q24" s="3" t="s">
        <v>262</v>
      </c>
      <c r="R24" s="3" t="s">
        <v>262</v>
      </c>
      <c r="S24" s="3" t="s">
        <v>262</v>
      </c>
      <c r="T24" s="3" t="s">
        <v>262</v>
      </c>
      <c r="U24" s="3" t="s">
        <v>262</v>
      </c>
      <c r="V24" s="3" t="s">
        <v>262</v>
      </c>
      <c r="W24" s="3" t="s">
        <v>262</v>
      </c>
      <c r="X24" s="3" t="s">
        <v>262</v>
      </c>
      <c r="Y24" s="3" t="s">
        <v>262</v>
      </c>
      <c r="Z24" s="3" t="s">
        <v>262</v>
      </c>
      <c r="AA24" s="3" t="s">
        <v>262</v>
      </c>
      <c r="AB24" s="3" t="s">
        <v>262</v>
      </c>
      <c r="AC24" s="3" t="s">
        <v>262</v>
      </c>
      <c r="AD24" s="3" t="s">
        <v>262</v>
      </c>
      <c r="AE24" s="3" t="s">
        <v>262</v>
      </c>
      <c r="AF24" s="3" t="s">
        <v>262</v>
      </c>
      <c r="AG24" s="3" t="s">
        <v>262</v>
      </c>
      <c r="AH24" s="3" t="s">
        <v>262</v>
      </c>
      <c r="AI24" s="3" t="s">
        <v>262</v>
      </c>
      <c r="AJ24" s="3" t="s">
        <v>257</v>
      </c>
      <c r="AK24" s="3" t="s">
        <v>430</v>
      </c>
      <c r="AL24" s="3" t="s">
        <v>431</v>
      </c>
      <c r="AM24" s="3" t="s">
        <v>430</v>
      </c>
      <c r="AN24" s="3" t="s">
        <v>430</v>
      </c>
      <c r="AO24" s="3" t="s">
        <v>431</v>
      </c>
      <c r="AP24" s="3" t="s">
        <v>430</v>
      </c>
      <c r="AQ24" s="3" t="s">
        <v>430</v>
      </c>
      <c r="AR24" s="3" t="s">
        <v>431</v>
      </c>
      <c r="AS24" s="3" t="s">
        <v>430</v>
      </c>
      <c r="AT24" s="3" t="s">
        <v>430</v>
      </c>
      <c r="AU24" s="3" t="s">
        <v>430</v>
      </c>
      <c r="AV24" s="3" t="s">
        <v>430</v>
      </c>
      <c r="AW24" s="3" t="s">
        <v>430</v>
      </c>
      <c r="AX24" s="3" t="s">
        <v>430</v>
      </c>
      <c r="AY24" s="3" t="s">
        <v>431</v>
      </c>
      <c r="AZ24" s="3" t="s">
        <v>431</v>
      </c>
      <c r="BA24" s="3" t="s">
        <v>430</v>
      </c>
      <c r="BB24" s="3" t="s">
        <v>430</v>
      </c>
      <c r="BC24" s="3" t="s">
        <v>430</v>
      </c>
      <c r="BD24" s="3" t="s">
        <v>430</v>
      </c>
      <c r="BE24" s="3" t="s">
        <v>430</v>
      </c>
      <c r="BF24" s="3" t="s">
        <v>430</v>
      </c>
      <c r="BG24" s="3" t="s">
        <v>430</v>
      </c>
      <c r="BH24" s="3" t="s">
        <v>430</v>
      </c>
      <c r="BI24" s="3" t="s">
        <v>430</v>
      </c>
      <c r="BJ24" s="3" t="s">
        <v>431</v>
      </c>
      <c r="BK24" s="3" t="s">
        <v>431</v>
      </c>
      <c r="BL24" s="3" t="s">
        <v>430</v>
      </c>
      <c r="BM24" s="3" t="s">
        <v>431</v>
      </c>
      <c r="BN24" s="3" t="s">
        <v>430</v>
      </c>
      <c r="BO24" s="3" t="s">
        <v>430</v>
      </c>
      <c r="BP24" s="3" t="s">
        <v>431</v>
      </c>
      <c r="BQ24" s="3" t="s">
        <v>431</v>
      </c>
      <c r="BR24" s="3" t="s">
        <v>431</v>
      </c>
      <c r="BS24" s="3" t="s">
        <v>431</v>
      </c>
      <c r="BT24" s="3" t="s">
        <v>431</v>
      </c>
      <c r="BU24" s="3" t="s">
        <v>431</v>
      </c>
      <c r="BV24" s="3" t="s">
        <v>430</v>
      </c>
      <c r="BW24" s="3" t="s">
        <v>430</v>
      </c>
      <c r="BX24" s="3" t="s">
        <v>430</v>
      </c>
      <c r="BY24" s="3" t="s">
        <v>430</v>
      </c>
      <c r="BZ24" s="3" t="s">
        <v>431</v>
      </c>
      <c r="CA24" s="3" t="s">
        <v>431</v>
      </c>
      <c r="CB24" s="3" t="s">
        <v>430</v>
      </c>
      <c r="CC24" s="3" t="s">
        <v>430</v>
      </c>
      <c r="CD24" s="3" t="s">
        <v>430</v>
      </c>
      <c r="CE24" s="3" t="s">
        <v>430</v>
      </c>
      <c r="CF24" s="3" t="s">
        <v>430</v>
      </c>
      <c r="CG24" s="3" t="s">
        <v>431</v>
      </c>
      <c r="CH24" s="3" t="s">
        <v>431</v>
      </c>
      <c r="CI24" s="3" t="s">
        <v>430</v>
      </c>
      <c r="CJ24" s="3" t="s">
        <v>431</v>
      </c>
      <c r="CK24" s="3" t="s">
        <v>430</v>
      </c>
      <c r="CL24" s="3" t="s">
        <v>431</v>
      </c>
      <c r="CM24" s="3" t="s">
        <v>431</v>
      </c>
      <c r="CN24" s="3" t="s">
        <v>431</v>
      </c>
      <c r="CO24" s="3" t="s">
        <v>431</v>
      </c>
      <c r="CP24" s="3" t="s">
        <v>431</v>
      </c>
      <c r="CQ24" s="3" t="s">
        <v>430</v>
      </c>
      <c r="CR24" s="3" t="s">
        <v>431</v>
      </c>
      <c r="CS24" s="3" t="s">
        <v>431</v>
      </c>
      <c r="CT24" s="3" t="s">
        <v>431</v>
      </c>
      <c r="CU24" s="3" t="s">
        <v>431</v>
      </c>
      <c r="CV24" s="3" t="s">
        <v>431</v>
      </c>
      <c r="CW24" s="3" t="s">
        <v>430</v>
      </c>
      <c r="CX24" s="3" t="s">
        <v>430</v>
      </c>
      <c r="CY24" s="3" t="s">
        <v>430</v>
      </c>
      <c r="CZ24" s="3" t="s">
        <v>430</v>
      </c>
      <c r="DA24" s="3" t="s">
        <v>431</v>
      </c>
      <c r="DB24" s="3" t="s">
        <v>431</v>
      </c>
      <c r="DC24" s="3" t="s">
        <v>431</v>
      </c>
      <c r="DD24" s="3" t="s">
        <v>431</v>
      </c>
    </row>
    <row r="25" spans="1:108" x14ac:dyDescent="0.3">
      <c r="A25" s="3" t="s">
        <v>51</v>
      </c>
      <c r="B25" s="3">
        <v>2021</v>
      </c>
      <c r="C25" s="3">
        <v>101</v>
      </c>
      <c r="D25" s="3" t="s">
        <v>433</v>
      </c>
      <c r="E25" s="3">
        <v>18</v>
      </c>
      <c r="F25" s="5">
        <f t="shared" si="0"/>
        <v>18</v>
      </c>
      <c r="G25" s="3">
        <v>0</v>
      </c>
      <c r="H25" s="5">
        <f t="shared" si="1"/>
        <v>0</v>
      </c>
      <c r="I25" s="3">
        <v>0</v>
      </c>
      <c r="J25" s="5">
        <f t="shared" si="2"/>
        <v>0</v>
      </c>
      <c r="K25" s="3">
        <v>39</v>
      </c>
      <c r="L25" s="5">
        <f t="shared" si="3"/>
        <v>39</v>
      </c>
      <c r="M25" s="3">
        <v>26</v>
      </c>
      <c r="N25" s="5">
        <f t="shared" si="4"/>
        <v>26</v>
      </c>
      <c r="O25" s="3" t="s">
        <v>257</v>
      </c>
      <c r="P25" s="3" t="s">
        <v>257</v>
      </c>
      <c r="Q25" s="3" t="s">
        <v>262</v>
      </c>
      <c r="R25" s="3" t="s">
        <v>262</v>
      </c>
      <c r="S25" s="3" t="s">
        <v>262</v>
      </c>
      <c r="T25" s="3" t="s">
        <v>262</v>
      </c>
      <c r="U25" s="3" t="s">
        <v>262</v>
      </c>
      <c r="V25" s="3" t="s">
        <v>262</v>
      </c>
      <c r="W25" s="3" t="s">
        <v>262</v>
      </c>
      <c r="X25" s="3" t="s">
        <v>262</v>
      </c>
      <c r="Y25" s="3" t="s">
        <v>262</v>
      </c>
      <c r="Z25" s="3" t="s">
        <v>262</v>
      </c>
      <c r="AA25" s="3" t="s">
        <v>262</v>
      </c>
      <c r="AB25" s="3" t="s">
        <v>262</v>
      </c>
      <c r="AC25" s="3" t="s">
        <v>262</v>
      </c>
      <c r="AD25" s="3" t="s">
        <v>262</v>
      </c>
      <c r="AE25" s="3" t="s">
        <v>262</v>
      </c>
      <c r="AF25" s="3" t="s">
        <v>257</v>
      </c>
      <c r="AG25" s="3" t="s">
        <v>262</v>
      </c>
      <c r="AH25" s="3" t="s">
        <v>262</v>
      </c>
      <c r="AI25" s="3" t="s">
        <v>262</v>
      </c>
      <c r="AJ25" s="3" t="s">
        <v>257</v>
      </c>
      <c r="AK25" s="3" t="s">
        <v>430</v>
      </c>
      <c r="AL25" s="3" t="s">
        <v>431</v>
      </c>
      <c r="AM25" s="3" t="s">
        <v>430</v>
      </c>
      <c r="AN25" s="3" t="s">
        <v>431</v>
      </c>
      <c r="AO25" s="3" t="s">
        <v>431</v>
      </c>
      <c r="AP25" s="3" t="s">
        <v>431</v>
      </c>
      <c r="AQ25" s="3" t="s">
        <v>431</v>
      </c>
      <c r="AR25" s="3" t="s">
        <v>431</v>
      </c>
      <c r="AS25" s="3" t="s">
        <v>430</v>
      </c>
      <c r="AT25" s="3" t="s">
        <v>430</v>
      </c>
      <c r="AU25" s="3" t="s">
        <v>431</v>
      </c>
      <c r="AV25" s="3" t="s">
        <v>430</v>
      </c>
      <c r="AW25" s="3" t="s">
        <v>430</v>
      </c>
      <c r="AX25" s="3" t="s">
        <v>431</v>
      </c>
      <c r="AY25" s="3" t="s">
        <v>431</v>
      </c>
      <c r="AZ25" s="3" t="s">
        <v>431</v>
      </c>
      <c r="BA25" s="3" t="s">
        <v>430</v>
      </c>
      <c r="BB25" s="3" t="s">
        <v>430</v>
      </c>
      <c r="BC25" s="3" t="s">
        <v>430</v>
      </c>
      <c r="BD25" s="3" t="s">
        <v>430</v>
      </c>
      <c r="BE25" s="3" t="s">
        <v>430</v>
      </c>
      <c r="BF25" s="3" t="s">
        <v>430</v>
      </c>
      <c r="BG25" s="3" t="s">
        <v>430</v>
      </c>
      <c r="BH25" s="3" t="s">
        <v>430</v>
      </c>
      <c r="BI25" s="3" t="s">
        <v>430</v>
      </c>
      <c r="BJ25" s="3" t="s">
        <v>431</v>
      </c>
      <c r="BK25" s="3" t="s">
        <v>431</v>
      </c>
      <c r="BL25" s="3" t="s">
        <v>430</v>
      </c>
      <c r="BM25" s="3" t="s">
        <v>431</v>
      </c>
      <c r="BN25" s="3" t="s">
        <v>430</v>
      </c>
      <c r="BO25" s="3" t="s">
        <v>430</v>
      </c>
      <c r="BP25" s="3" t="s">
        <v>431</v>
      </c>
      <c r="BQ25" s="3" t="s">
        <v>431</v>
      </c>
      <c r="BR25" s="3" t="s">
        <v>431</v>
      </c>
      <c r="BS25" s="3" t="s">
        <v>431</v>
      </c>
      <c r="BT25" s="3" t="s">
        <v>430</v>
      </c>
      <c r="BU25" s="3" t="s">
        <v>431</v>
      </c>
      <c r="BV25" s="3" t="s">
        <v>431</v>
      </c>
      <c r="BW25" s="3" t="s">
        <v>431</v>
      </c>
      <c r="BX25" s="3" t="s">
        <v>430</v>
      </c>
      <c r="BY25" s="3" t="s">
        <v>430</v>
      </c>
      <c r="BZ25" s="3" t="s">
        <v>431</v>
      </c>
      <c r="CA25" s="3" t="s">
        <v>431</v>
      </c>
      <c r="CB25" s="3" t="s">
        <v>430</v>
      </c>
      <c r="CC25" s="3" t="s">
        <v>431</v>
      </c>
      <c r="CD25" s="3" t="s">
        <v>430</v>
      </c>
      <c r="CE25" s="3" t="s">
        <v>430</v>
      </c>
      <c r="CF25" s="3" t="s">
        <v>430</v>
      </c>
      <c r="CG25" s="3" t="s">
        <v>430</v>
      </c>
      <c r="CH25" s="3" t="s">
        <v>430</v>
      </c>
      <c r="CI25" s="3" t="s">
        <v>431</v>
      </c>
      <c r="CJ25" s="3" t="s">
        <v>431</v>
      </c>
      <c r="CK25" s="3" t="s">
        <v>430</v>
      </c>
      <c r="CL25" s="3" t="s">
        <v>431</v>
      </c>
      <c r="CM25" s="3" t="s">
        <v>431</v>
      </c>
      <c r="CN25" s="3" t="s">
        <v>431</v>
      </c>
      <c r="CO25" s="3" t="s">
        <v>431</v>
      </c>
      <c r="CP25" s="3" t="s">
        <v>431</v>
      </c>
      <c r="CQ25" s="3" t="s">
        <v>430</v>
      </c>
      <c r="CR25" s="3" t="s">
        <v>431</v>
      </c>
      <c r="CS25" s="3" t="s">
        <v>431</v>
      </c>
      <c r="CT25" s="3" t="s">
        <v>431</v>
      </c>
      <c r="CU25" s="3" t="s">
        <v>431</v>
      </c>
      <c r="CV25" s="3" t="s">
        <v>431</v>
      </c>
      <c r="CW25" s="3" t="s">
        <v>430</v>
      </c>
      <c r="CX25" s="3" t="s">
        <v>430</v>
      </c>
      <c r="CY25" s="3" t="s">
        <v>430</v>
      </c>
      <c r="CZ25" s="3" t="s">
        <v>430</v>
      </c>
      <c r="DA25" s="3" t="s">
        <v>431</v>
      </c>
      <c r="DB25" s="3" t="s">
        <v>431</v>
      </c>
      <c r="DC25" s="3" t="s">
        <v>431</v>
      </c>
      <c r="DD25" s="3" t="s">
        <v>431</v>
      </c>
    </row>
    <row r="26" spans="1:108" x14ac:dyDescent="0.3">
      <c r="A26" s="3" t="s">
        <v>52</v>
      </c>
      <c r="B26" s="3">
        <v>2021</v>
      </c>
      <c r="C26" s="3">
        <v>751</v>
      </c>
      <c r="D26" s="3" t="s">
        <v>433</v>
      </c>
      <c r="E26" s="3">
        <v>19</v>
      </c>
      <c r="F26" s="5">
        <f t="shared" si="0"/>
        <v>19</v>
      </c>
      <c r="G26" s="3">
        <v>0</v>
      </c>
      <c r="H26" s="5">
        <f t="shared" si="1"/>
        <v>0</v>
      </c>
      <c r="I26" s="3">
        <v>0</v>
      </c>
      <c r="J26" s="5">
        <f t="shared" si="2"/>
        <v>0</v>
      </c>
      <c r="K26" s="3">
        <v>33</v>
      </c>
      <c r="L26" s="5">
        <f t="shared" si="3"/>
        <v>33</v>
      </c>
      <c r="M26" s="3">
        <v>20</v>
      </c>
      <c r="N26" s="5">
        <f t="shared" si="4"/>
        <v>20</v>
      </c>
      <c r="O26" s="3" t="s">
        <v>257</v>
      </c>
      <c r="P26" s="3" t="s">
        <v>257</v>
      </c>
      <c r="Q26" s="3" t="s">
        <v>262</v>
      </c>
      <c r="R26" s="3" t="s">
        <v>262</v>
      </c>
      <c r="S26" s="3" t="s">
        <v>262</v>
      </c>
      <c r="T26" s="3" t="s">
        <v>257</v>
      </c>
      <c r="U26" s="3" t="s">
        <v>262</v>
      </c>
      <c r="V26" s="3" t="s">
        <v>262</v>
      </c>
      <c r="W26" s="3" t="s">
        <v>262</v>
      </c>
      <c r="X26" s="3" t="s">
        <v>262</v>
      </c>
      <c r="Y26" s="3" t="s">
        <v>262</v>
      </c>
      <c r="Z26" s="3" t="s">
        <v>262</v>
      </c>
      <c r="AA26" s="3" t="s">
        <v>262</v>
      </c>
      <c r="AB26" s="3" t="s">
        <v>262</v>
      </c>
      <c r="AC26" s="3" t="s">
        <v>262</v>
      </c>
      <c r="AD26" s="3" t="s">
        <v>262</v>
      </c>
      <c r="AE26" s="3" t="s">
        <v>262</v>
      </c>
      <c r="AF26" s="3" t="s">
        <v>262</v>
      </c>
      <c r="AG26" s="3" t="s">
        <v>262</v>
      </c>
      <c r="AH26" s="3" t="s">
        <v>262</v>
      </c>
      <c r="AI26" s="3" t="s">
        <v>262</v>
      </c>
      <c r="AJ26" s="3" t="s">
        <v>262</v>
      </c>
      <c r="AK26" s="3" t="s">
        <v>430</v>
      </c>
      <c r="AL26" s="3" t="s">
        <v>430</v>
      </c>
      <c r="AM26" s="3" t="s">
        <v>430</v>
      </c>
      <c r="AN26" s="3" t="s">
        <v>431</v>
      </c>
      <c r="AO26" s="3" t="s">
        <v>431</v>
      </c>
      <c r="AP26" s="3" t="s">
        <v>430</v>
      </c>
      <c r="AQ26" s="3" t="s">
        <v>430</v>
      </c>
      <c r="AR26" s="3" t="s">
        <v>430</v>
      </c>
      <c r="AS26" s="3" t="s">
        <v>430</v>
      </c>
      <c r="AT26" s="3" t="s">
        <v>430</v>
      </c>
      <c r="AU26" s="3" t="s">
        <v>431</v>
      </c>
      <c r="AV26" s="3" t="s">
        <v>430</v>
      </c>
      <c r="AW26" s="3" t="s">
        <v>430</v>
      </c>
      <c r="AX26" s="3" t="s">
        <v>431</v>
      </c>
      <c r="AY26" s="3" t="s">
        <v>431</v>
      </c>
      <c r="AZ26" s="3" t="s">
        <v>430</v>
      </c>
      <c r="BA26" s="3" t="s">
        <v>431</v>
      </c>
      <c r="BB26" s="3" t="s">
        <v>430</v>
      </c>
      <c r="BC26" s="3" t="s">
        <v>430</v>
      </c>
      <c r="BD26" s="3" t="s">
        <v>430</v>
      </c>
      <c r="BE26" s="3" t="s">
        <v>430</v>
      </c>
      <c r="BF26" s="3" t="s">
        <v>430</v>
      </c>
      <c r="BG26" s="3" t="s">
        <v>430</v>
      </c>
      <c r="BH26" s="3" t="s">
        <v>430</v>
      </c>
      <c r="BI26" s="3" t="s">
        <v>430</v>
      </c>
      <c r="BJ26" s="3" t="s">
        <v>430</v>
      </c>
      <c r="BK26" s="3" t="s">
        <v>430</v>
      </c>
      <c r="BL26" s="3" t="s">
        <v>431</v>
      </c>
      <c r="BM26" s="3" t="s">
        <v>431</v>
      </c>
      <c r="BN26" s="3" t="s">
        <v>431</v>
      </c>
      <c r="BO26" s="3" t="s">
        <v>430</v>
      </c>
      <c r="BP26" s="3" t="s">
        <v>431</v>
      </c>
      <c r="BQ26" s="3" t="s">
        <v>431</v>
      </c>
      <c r="BR26" s="3" t="s">
        <v>431</v>
      </c>
      <c r="BS26" s="3" t="s">
        <v>431</v>
      </c>
      <c r="BT26" s="3" t="s">
        <v>430</v>
      </c>
      <c r="BU26" s="3" t="s">
        <v>431</v>
      </c>
      <c r="BV26" s="3" t="s">
        <v>431</v>
      </c>
      <c r="BW26" s="3" t="s">
        <v>431</v>
      </c>
      <c r="BX26" s="3" t="s">
        <v>430</v>
      </c>
      <c r="BY26" s="3" t="s">
        <v>430</v>
      </c>
      <c r="BZ26" s="3" t="s">
        <v>431</v>
      </c>
      <c r="CA26" s="3" t="s">
        <v>431</v>
      </c>
      <c r="CB26" s="3" t="s">
        <v>430</v>
      </c>
      <c r="CC26" s="3" t="s">
        <v>430</v>
      </c>
      <c r="CD26" s="3" t="s">
        <v>430</v>
      </c>
      <c r="CE26" s="3" t="s">
        <v>430</v>
      </c>
      <c r="CF26" s="3" t="s">
        <v>430</v>
      </c>
      <c r="CG26" s="3" t="s">
        <v>430</v>
      </c>
      <c r="CH26" s="3" t="s">
        <v>431</v>
      </c>
      <c r="CI26" s="3" t="s">
        <v>430</v>
      </c>
      <c r="CJ26" s="3" t="s">
        <v>431</v>
      </c>
      <c r="CK26" s="3" t="s">
        <v>430</v>
      </c>
      <c r="CL26" s="3" t="s">
        <v>430</v>
      </c>
      <c r="CM26" s="3" t="s">
        <v>431</v>
      </c>
      <c r="CN26" s="3" t="s">
        <v>431</v>
      </c>
      <c r="CO26" s="3" t="s">
        <v>431</v>
      </c>
      <c r="CP26" s="3" t="s">
        <v>431</v>
      </c>
      <c r="CQ26" s="3" t="s">
        <v>430</v>
      </c>
      <c r="CR26" s="3" t="s">
        <v>431</v>
      </c>
      <c r="CS26" s="3" t="s">
        <v>431</v>
      </c>
      <c r="CT26" s="3" t="s">
        <v>431</v>
      </c>
      <c r="CU26" s="3" t="s">
        <v>431</v>
      </c>
      <c r="CV26" s="3" t="s">
        <v>431</v>
      </c>
      <c r="CW26" s="3" t="s">
        <v>430</v>
      </c>
      <c r="CX26" s="3" t="s">
        <v>430</v>
      </c>
      <c r="CY26" s="3" t="s">
        <v>430</v>
      </c>
      <c r="CZ26" s="3" t="s">
        <v>430</v>
      </c>
      <c r="DA26" s="3" t="s">
        <v>431</v>
      </c>
      <c r="DB26" s="3" t="s">
        <v>431</v>
      </c>
      <c r="DC26" s="3" t="s">
        <v>431</v>
      </c>
      <c r="DD26" s="3" t="s">
        <v>431</v>
      </c>
    </row>
    <row r="27" spans="1:108" x14ac:dyDescent="0.3">
      <c r="A27" s="3" t="s">
        <v>53</v>
      </c>
      <c r="B27" s="3">
        <v>2021</v>
      </c>
      <c r="C27" s="3">
        <v>1777</v>
      </c>
      <c r="D27" s="3" t="s">
        <v>433</v>
      </c>
      <c r="E27" s="3">
        <v>20</v>
      </c>
      <c r="F27" s="5">
        <f t="shared" si="0"/>
        <v>20</v>
      </c>
      <c r="G27" s="3">
        <v>0</v>
      </c>
      <c r="H27" s="5">
        <f t="shared" si="1"/>
        <v>0</v>
      </c>
      <c r="I27" s="3">
        <v>0</v>
      </c>
      <c r="J27" s="5">
        <f t="shared" si="2"/>
        <v>0</v>
      </c>
      <c r="K27" s="3">
        <v>37</v>
      </c>
      <c r="L27" s="5">
        <f t="shared" si="3"/>
        <v>37</v>
      </c>
      <c r="M27" s="3">
        <v>24</v>
      </c>
      <c r="N27" s="5">
        <f t="shared" si="4"/>
        <v>24</v>
      </c>
      <c r="O27" s="3" t="s">
        <v>262</v>
      </c>
      <c r="P27" s="3" t="s">
        <v>262</v>
      </c>
      <c r="Q27" s="3" t="s">
        <v>262</v>
      </c>
      <c r="R27" s="3" t="s">
        <v>262</v>
      </c>
      <c r="S27" s="3" t="s">
        <v>262</v>
      </c>
      <c r="T27" s="3" t="s">
        <v>262</v>
      </c>
      <c r="U27" s="3" t="s">
        <v>262</v>
      </c>
      <c r="V27" s="3" t="s">
        <v>262</v>
      </c>
      <c r="W27" s="3" t="s">
        <v>262</v>
      </c>
      <c r="X27" s="3" t="s">
        <v>262</v>
      </c>
      <c r="Y27" s="3" t="s">
        <v>262</v>
      </c>
      <c r="Z27" s="3" t="s">
        <v>262</v>
      </c>
      <c r="AA27" s="3" t="s">
        <v>262</v>
      </c>
      <c r="AB27" s="3" t="s">
        <v>262</v>
      </c>
      <c r="AC27" s="3" t="s">
        <v>262</v>
      </c>
      <c r="AD27" s="3" t="s">
        <v>262</v>
      </c>
      <c r="AE27" s="3" t="s">
        <v>257</v>
      </c>
      <c r="AF27" s="3" t="s">
        <v>262</v>
      </c>
      <c r="AG27" s="3" t="s">
        <v>262</v>
      </c>
      <c r="AH27" s="3" t="s">
        <v>262</v>
      </c>
      <c r="AI27" s="3" t="s">
        <v>262</v>
      </c>
      <c r="AJ27" s="3" t="s">
        <v>257</v>
      </c>
      <c r="AK27" s="3" t="s">
        <v>430</v>
      </c>
      <c r="AL27" s="3" t="s">
        <v>431</v>
      </c>
      <c r="AM27" s="3" t="s">
        <v>430</v>
      </c>
      <c r="AN27" s="3" t="s">
        <v>431</v>
      </c>
      <c r="AO27" s="3" t="s">
        <v>431</v>
      </c>
      <c r="AP27" s="3" t="s">
        <v>430</v>
      </c>
      <c r="AQ27" s="3" t="s">
        <v>430</v>
      </c>
      <c r="AR27" s="3" t="s">
        <v>431</v>
      </c>
      <c r="AS27" s="3" t="s">
        <v>430</v>
      </c>
      <c r="AT27" s="3" t="s">
        <v>430</v>
      </c>
      <c r="AU27" s="3" t="s">
        <v>431</v>
      </c>
      <c r="AV27" s="3" t="s">
        <v>430</v>
      </c>
      <c r="AW27" s="3" t="s">
        <v>430</v>
      </c>
      <c r="AX27" s="3" t="s">
        <v>431</v>
      </c>
      <c r="AY27" s="3" t="s">
        <v>430</v>
      </c>
      <c r="AZ27" s="3" t="s">
        <v>431</v>
      </c>
      <c r="BA27" s="3" t="s">
        <v>430</v>
      </c>
      <c r="BB27" s="3" t="s">
        <v>430</v>
      </c>
      <c r="BC27" s="3" t="s">
        <v>431</v>
      </c>
      <c r="BD27" s="3" t="s">
        <v>430</v>
      </c>
      <c r="BE27" s="3" t="s">
        <v>430</v>
      </c>
      <c r="BF27" s="3" t="s">
        <v>430</v>
      </c>
      <c r="BG27" s="3" t="s">
        <v>430</v>
      </c>
      <c r="BH27" s="3" t="s">
        <v>430</v>
      </c>
      <c r="BI27" s="3" t="s">
        <v>430</v>
      </c>
      <c r="BJ27" s="3" t="s">
        <v>431</v>
      </c>
      <c r="BK27" s="3" t="s">
        <v>431</v>
      </c>
      <c r="BL27" s="3" t="s">
        <v>430</v>
      </c>
      <c r="BM27" s="3" t="s">
        <v>431</v>
      </c>
      <c r="BN27" s="3" t="s">
        <v>430</v>
      </c>
      <c r="BO27" s="3" t="s">
        <v>430</v>
      </c>
      <c r="BP27" s="3" t="s">
        <v>431</v>
      </c>
      <c r="BQ27" s="3" t="s">
        <v>431</v>
      </c>
      <c r="BR27" s="3" t="s">
        <v>431</v>
      </c>
      <c r="BS27" s="3" t="s">
        <v>431</v>
      </c>
      <c r="BT27" s="3" t="s">
        <v>430</v>
      </c>
      <c r="BU27" s="3" t="s">
        <v>431</v>
      </c>
      <c r="BV27" s="3" t="s">
        <v>431</v>
      </c>
      <c r="BW27" s="3" t="s">
        <v>431</v>
      </c>
      <c r="BX27" s="3" t="s">
        <v>430</v>
      </c>
      <c r="BY27" s="3" t="s">
        <v>430</v>
      </c>
      <c r="BZ27" s="3" t="s">
        <v>431</v>
      </c>
      <c r="CA27" s="3" t="s">
        <v>431</v>
      </c>
      <c r="CB27" s="3" t="s">
        <v>431</v>
      </c>
      <c r="CC27" s="3" t="s">
        <v>430</v>
      </c>
      <c r="CD27" s="3" t="s">
        <v>430</v>
      </c>
      <c r="CE27" s="3" t="s">
        <v>430</v>
      </c>
      <c r="CF27" s="3" t="s">
        <v>430</v>
      </c>
      <c r="CG27" s="3" t="s">
        <v>430</v>
      </c>
      <c r="CH27" s="3" t="s">
        <v>430</v>
      </c>
      <c r="CI27" s="3" t="s">
        <v>431</v>
      </c>
      <c r="CJ27" s="3" t="s">
        <v>431</v>
      </c>
      <c r="CK27" s="3" t="s">
        <v>430</v>
      </c>
      <c r="CL27" s="3" t="s">
        <v>431</v>
      </c>
      <c r="CM27" s="3" t="s">
        <v>431</v>
      </c>
      <c r="CN27" s="3" t="s">
        <v>431</v>
      </c>
      <c r="CO27" s="3" t="s">
        <v>431</v>
      </c>
      <c r="CP27" s="3" t="s">
        <v>431</v>
      </c>
      <c r="CQ27" s="3" t="s">
        <v>430</v>
      </c>
      <c r="CR27" s="3" t="s">
        <v>431</v>
      </c>
      <c r="CS27" s="3" t="s">
        <v>431</v>
      </c>
      <c r="CT27" s="3" t="s">
        <v>431</v>
      </c>
      <c r="CU27" s="3" t="s">
        <v>431</v>
      </c>
      <c r="CV27" s="3" t="s">
        <v>431</v>
      </c>
      <c r="CW27" s="3" t="s">
        <v>430</v>
      </c>
      <c r="CX27" s="3" t="s">
        <v>430</v>
      </c>
      <c r="CY27" s="3" t="s">
        <v>430</v>
      </c>
      <c r="CZ27" s="3" t="s">
        <v>430</v>
      </c>
      <c r="DA27" s="3" t="s">
        <v>431</v>
      </c>
      <c r="DB27" s="3" t="s">
        <v>431</v>
      </c>
      <c r="DC27" s="3" t="s">
        <v>431</v>
      </c>
      <c r="DD27" s="3" t="s">
        <v>431</v>
      </c>
    </row>
    <row r="28" spans="1:108" x14ac:dyDescent="0.3">
      <c r="A28" s="3" t="s">
        <v>54</v>
      </c>
      <c r="B28" s="3">
        <v>2021</v>
      </c>
      <c r="C28" s="3">
        <v>515</v>
      </c>
      <c r="D28" s="3" t="s">
        <v>432</v>
      </c>
      <c r="E28" s="3">
        <v>7</v>
      </c>
      <c r="F28" s="5">
        <f t="shared" si="0"/>
        <v>7</v>
      </c>
      <c r="G28" s="3">
        <v>3</v>
      </c>
      <c r="H28" s="5">
        <f t="shared" si="1"/>
        <v>3</v>
      </c>
      <c r="I28" s="3">
        <v>0</v>
      </c>
      <c r="J28" s="5">
        <f t="shared" si="2"/>
        <v>0</v>
      </c>
      <c r="K28" s="3">
        <v>29</v>
      </c>
      <c r="L28" s="5">
        <f t="shared" si="3"/>
        <v>29</v>
      </c>
      <c r="M28" s="3">
        <v>16</v>
      </c>
      <c r="N28" s="5">
        <f t="shared" si="4"/>
        <v>16</v>
      </c>
      <c r="O28" s="3" t="s">
        <v>257</v>
      </c>
      <c r="P28" s="3" t="s">
        <v>257</v>
      </c>
      <c r="Q28" s="3" t="s">
        <v>257</v>
      </c>
      <c r="R28" s="3" t="s">
        <v>257</v>
      </c>
      <c r="S28" s="3" t="s">
        <v>257</v>
      </c>
      <c r="T28" s="3" t="s">
        <v>257</v>
      </c>
      <c r="U28" s="3" t="s">
        <v>269</v>
      </c>
      <c r="V28" s="3" t="s">
        <v>262</v>
      </c>
      <c r="W28" s="3" t="s">
        <v>262</v>
      </c>
      <c r="X28" s="3" t="s">
        <v>262</v>
      </c>
      <c r="Y28" s="3" t="s">
        <v>257</v>
      </c>
      <c r="Z28" s="3" t="s">
        <v>262</v>
      </c>
      <c r="AA28" s="3" t="s">
        <v>257</v>
      </c>
      <c r="AB28" s="3" t="s">
        <v>262</v>
      </c>
      <c r="AC28" s="3" t="s">
        <v>257</v>
      </c>
      <c r="AD28" s="3" t="s">
        <v>269</v>
      </c>
      <c r="AE28" s="3" t="s">
        <v>257</v>
      </c>
      <c r="AF28" s="3" t="s">
        <v>262</v>
      </c>
      <c r="AG28" s="3" t="s">
        <v>257</v>
      </c>
      <c r="AH28" s="3" t="s">
        <v>262</v>
      </c>
      <c r="AI28" s="3" t="s">
        <v>269</v>
      </c>
      <c r="AJ28" s="3" t="s">
        <v>257</v>
      </c>
      <c r="AK28" s="3" t="s">
        <v>430</v>
      </c>
      <c r="AL28" s="3" t="s">
        <v>430</v>
      </c>
      <c r="AM28" s="3" t="s">
        <v>430</v>
      </c>
      <c r="AN28" s="3" t="s">
        <v>431</v>
      </c>
      <c r="AO28" s="3" t="s">
        <v>430</v>
      </c>
      <c r="AP28" s="3" t="s">
        <v>431</v>
      </c>
      <c r="AQ28" s="3" t="s">
        <v>431</v>
      </c>
      <c r="AR28" s="3" t="s">
        <v>431</v>
      </c>
      <c r="AS28" s="3" t="s">
        <v>431</v>
      </c>
      <c r="AT28" s="3" t="s">
        <v>430</v>
      </c>
      <c r="AU28" s="3" t="s">
        <v>430</v>
      </c>
      <c r="AV28" s="3" t="s">
        <v>430</v>
      </c>
      <c r="AW28" s="3" t="s">
        <v>430</v>
      </c>
      <c r="AX28" s="3" t="s">
        <v>431</v>
      </c>
      <c r="AY28" s="3" t="s">
        <v>430</v>
      </c>
      <c r="AZ28" s="3" t="s">
        <v>431</v>
      </c>
      <c r="BA28" s="3" t="s">
        <v>430</v>
      </c>
      <c r="BB28" s="3" t="s">
        <v>430</v>
      </c>
      <c r="BC28" s="3" t="s">
        <v>431</v>
      </c>
      <c r="BD28" s="3" t="s">
        <v>430</v>
      </c>
      <c r="BE28" s="3" t="s">
        <v>430</v>
      </c>
      <c r="BF28" s="3" t="s">
        <v>430</v>
      </c>
      <c r="BG28" s="3" t="s">
        <v>430</v>
      </c>
      <c r="BH28" s="3" t="s">
        <v>430</v>
      </c>
      <c r="BI28" s="3" t="s">
        <v>430</v>
      </c>
      <c r="BJ28" s="3" t="s">
        <v>430</v>
      </c>
      <c r="BK28" s="3" t="s">
        <v>430</v>
      </c>
      <c r="BL28" s="3" t="s">
        <v>430</v>
      </c>
      <c r="BM28" s="3" t="s">
        <v>430</v>
      </c>
      <c r="BN28" s="3" t="s">
        <v>430</v>
      </c>
      <c r="BO28" s="3" t="s">
        <v>430</v>
      </c>
      <c r="BP28" s="3" t="s">
        <v>431</v>
      </c>
      <c r="BQ28" s="3" t="s">
        <v>431</v>
      </c>
      <c r="BR28" s="3" t="s">
        <v>431</v>
      </c>
      <c r="BS28" s="3" t="s">
        <v>431</v>
      </c>
      <c r="BT28" s="3" t="s">
        <v>430</v>
      </c>
      <c r="BU28" s="3" t="s">
        <v>430</v>
      </c>
      <c r="BV28" s="3" t="s">
        <v>430</v>
      </c>
      <c r="BW28" s="3" t="s">
        <v>430</v>
      </c>
      <c r="BX28" s="3" t="s">
        <v>431</v>
      </c>
      <c r="BY28" s="3" t="s">
        <v>430</v>
      </c>
      <c r="BZ28" s="3" t="s">
        <v>431</v>
      </c>
      <c r="CA28" s="3" t="s">
        <v>431</v>
      </c>
      <c r="CB28" s="3" t="s">
        <v>430</v>
      </c>
      <c r="CC28" s="3" t="s">
        <v>430</v>
      </c>
      <c r="CD28" s="3" t="s">
        <v>430</v>
      </c>
      <c r="CE28" s="3" t="s">
        <v>430</v>
      </c>
      <c r="CF28" s="3" t="s">
        <v>430</v>
      </c>
      <c r="CG28" s="3" t="s">
        <v>430</v>
      </c>
      <c r="CH28" s="3" t="s">
        <v>430</v>
      </c>
      <c r="CI28" s="3" t="s">
        <v>430</v>
      </c>
      <c r="CJ28" s="3" t="s">
        <v>431</v>
      </c>
      <c r="CK28" s="3" t="s">
        <v>430</v>
      </c>
      <c r="CL28" s="3" t="s">
        <v>430</v>
      </c>
      <c r="CM28" s="3" t="s">
        <v>431</v>
      </c>
      <c r="CN28" s="3" t="s">
        <v>431</v>
      </c>
      <c r="CO28" s="3" t="s">
        <v>431</v>
      </c>
      <c r="CP28" s="3" t="s">
        <v>431</v>
      </c>
      <c r="CQ28" s="3" t="s">
        <v>430</v>
      </c>
      <c r="CR28" s="3" t="s">
        <v>431</v>
      </c>
      <c r="CS28" s="3" t="s">
        <v>431</v>
      </c>
      <c r="CT28" s="3" t="s">
        <v>431</v>
      </c>
      <c r="CU28" s="3" t="s">
        <v>431</v>
      </c>
      <c r="CV28" s="3" t="s">
        <v>431</v>
      </c>
      <c r="CW28" s="3" t="s">
        <v>430</v>
      </c>
      <c r="CX28" s="3" t="s">
        <v>430</v>
      </c>
      <c r="CY28" s="3" t="s">
        <v>430</v>
      </c>
      <c r="CZ28" s="3" t="s">
        <v>430</v>
      </c>
      <c r="DA28" s="3" t="s">
        <v>431</v>
      </c>
      <c r="DB28" s="3" t="s">
        <v>431</v>
      </c>
      <c r="DC28" s="3" t="s">
        <v>431</v>
      </c>
      <c r="DD28" s="3" t="s">
        <v>431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16" customWidth="1"/>
    <col min="3" max="3" width="22" customWidth="1"/>
    <col min="4" max="4" width="18" customWidth="1"/>
    <col min="5" max="5" width="75" customWidth="1"/>
  </cols>
  <sheetData>
    <row r="1" spans="1:5" ht="3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570</v>
      </c>
    </row>
    <row r="2" spans="1:5" x14ac:dyDescent="0.3">
      <c r="A2" s="3" t="s">
        <v>571</v>
      </c>
      <c r="B2" s="3">
        <v>27</v>
      </c>
      <c r="C2" s="3" t="s">
        <v>6</v>
      </c>
      <c r="D2" s="6">
        <v>6.0562305079873121E-5</v>
      </c>
      <c r="E2" s="3" t="s">
        <v>572</v>
      </c>
    </row>
    <row r="3" spans="1:5" x14ac:dyDescent="0.3">
      <c r="A3" s="3" t="s">
        <v>571</v>
      </c>
      <c r="B3" s="3">
        <v>27</v>
      </c>
      <c r="C3" s="3" t="s">
        <v>8</v>
      </c>
      <c r="D3" s="6">
        <v>2.1862477587992596E-3</v>
      </c>
      <c r="E3" s="3" t="s">
        <v>572</v>
      </c>
    </row>
    <row r="4" spans="1:5" x14ac:dyDescent="0.3">
      <c r="A4" s="3" t="s">
        <v>573</v>
      </c>
      <c r="B4" s="3">
        <v>27</v>
      </c>
      <c r="C4" s="3" t="s">
        <v>11</v>
      </c>
      <c r="D4" s="6">
        <v>6.4516360302519743E-5</v>
      </c>
      <c r="E4" s="3" t="s">
        <v>574</v>
      </c>
    </row>
    <row r="5" spans="1:5" x14ac:dyDescent="0.3">
      <c r="A5" s="3" t="s">
        <v>573</v>
      </c>
      <c r="B5" s="3">
        <v>27</v>
      </c>
      <c r="C5" s="3" t="s">
        <v>13</v>
      </c>
      <c r="D5" s="6">
        <v>3.3111352793502684E-3</v>
      </c>
      <c r="E5" s="3" t="s">
        <v>574</v>
      </c>
    </row>
    <row r="6" spans="1:5" x14ac:dyDescent="0.3">
      <c r="A6" s="3" t="s">
        <v>575</v>
      </c>
      <c r="B6" s="3" t="s">
        <v>576</v>
      </c>
      <c r="C6" s="3">
        <v>7</v>
      </c>
      <c r="D6" s="6" t="s">
        <v>577</v>
      </c>
      <c r="E6" s="3" t="s">
        <v>578</v>
      </c>
    </row>
    <row r="7" spans="1:5" x14ac:dyDescent="0.3">
      <c r="A7" s="3" t="s">
        <v>575</v>
      </c>
      <c r="B7" s="3" t="s">
        <v>579</v>
      </c>
      <c r="C7" s="3">
        <v>20</v>
      </c>
      <c r="D7" s="6" t="s">
        <v>577</v>
      </c>
      <c r="E7" s="3" t="s">
        <v>580</v>
      </c>
    </row>
    <row r="8" spans="1:5" x14ac:dyDescent="0.3">
      <c r="A8" s="3" t="s">
        <v>581</v>
      </c>
      <c r="B8" s="3" t="s">
        <v>582</v>
      </c>
      <c r="C8" s="3">
        <v>18</v>
      </c>
      <c r="D8" s="6">
        <v>43</v>
      </c>
      <c r="E8" s="3" t="s">
        <v>583</v>
      </c>
    </row>
    <row r="9" spans="1:5" ht="28.8" x14ac:dyDescent="0.3">
      <c r="A9" s="3" t="s">
        <v>584</v>
      </c>
      <c r="B9" s="3" t="s">
        <v>585</v>
      </c>
      <c r="C9" s="3">
        <v>4</v>
      </c>
      <c r="D9" s="6">
        <v>21</v>
      </c>
      <c r="E9" s="3" t="s">
        <v>586</v>
      </c>
    </row>
    <row r="10" spans="1:5" x14ac:dyDescent="0.3">
      <c r="A10" s="3"/>
      <c r="B10" s="3"/>
      <c r="C10" s="3"/>
      <c r="D10" s="6"/>
      <c r="E10" s="3"/>
    </row>
    <row r="11" spans="1:5" x14ac:dyDescent="0.3">
      <c r="A11" s="3"/>
      <c r="B11" s="3"/>
      <c r="C11" s="3"/>
      <c r="D11" s="6"/>
      <c r="E11" s="3"/>
    </row>
    <row r="12" spans="1:5" x14ac:dyDescent="0.3">
      <c r="A12" s="3"/>
      <c r="B12" s="3"/>
      <c r="C12" s="3"/>
      <c r="D12" s="6"/>
      <c r="E12" s="3"/>
    </row>
    <row r="13" spans="1:5" x14ac:dyDescent="0.3">
      <c r="A13" s="3"/>
      <c r="B13" s="3"/>
      <c r="C13" s="3"/>
      <c r="D13" s="6"/>
      <c r="E13" s="3"/>
    </row>
    <row r="14" spans="1:5" x14ac:dyDescent="0.3">
      <c r="A14" s="3"/>
      <c r="B14" s="3"/>
      <c r="C14" s="3"/>
      <c r="D14" s="6"/>
      <c r="E14" s="3"/>
    </row>
    <row r="15" spans="1:5" x14ac:dyDescent="0.3">
      <c r="A15" s="3"/>
      <c r="B15" s="3"/>
      <c r="C15" s="3"/>
      <c r="D15" s="6"/>
      <c r="E15" s="3"/>
    </row>
    <row r="16" spans="1:5" x14ac:dyDescent="0.3">
      <c r="A16" s="3"/>
      <c r="B16" s="3"/>
      <c r="C16" s="3"/>
      <c r="D16" s="6"/>
      <c r="E16" s="3"/>
    </row>
    <row r="17" spans="1:5" x14ac:dyDescent="0.3">
      <c r="A17" s="3"/>
      <c r="B17" s="3"/>
      <c r="C17" s="3"/>
      <c r="D17" s="6"/>
      <c r="E17" s="3"/>
    </row>
    <row r="18" spans="1:5" x14ac:dyDescent="0.3">
      <c r="A18" s="3"/>
      <c r="B18" s="3"/>
      <c r="C18" s="3"/>
      <c r="D18" s="6"/>
      <c r="E18" s="3"/>
    </row>
    <row r="19" spans="1:5" x14ac:dyDescent="0.3">
      <c r="A19" s="3"/>
      <c r="B19" s="3"/>
      <c r="C19" s="3"/>
      <c r="D19" s="6"/>
      <c r="E19" s="3"/>
    </row>
    <row r="20" spans="1:5" x14ac:dyDescent="0.3">
      <c r="A20" s="3"/>
      <c r="B20" s="3"/>
      <c r="C20" s="3"/>
      <c r="D20" s="6"/>
      <c r="E20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25" customWidth="1"/>
    <col min="3" max="3" width="12" customWidth="1"/>
    <col min="4" max="4" width="18" customWidth="1"/>
    <col min="5" max="5" width="20" customWidth="1"/>
    <col min="6" max="6" width="18" customWidth="1"/>
    <col min="7" max="7" width="21" customWidth="1"/>
    <col min="8" max="8" width="18" customWidth="1"/>
    <col min="9" max="10" width="19" customWidth="1"/>
    <col min="11" max="11" width="28" customWidth="1"/>
  </cols>
  <sheetData>
    <row r="1" spans="1:11" ht="36" customHeight="1" x14ac:dyDescent="0.3">
      <c r="A1" s="2" t="s">
        <v>587</v>
      </c>
      <c r="B1" s="2" t="s">
        <v>588</v>
      </c>
      <c r="C1" s="2" t="s">
        <v>589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590</v>
      </c>
      <c r="I1" s="2" t="s">
        <v>591</v>
      </c>
      <c r="J1" s="2" t="s">
        <v>592</v>
      </c>
      <c r="K1" s="2" t="s">
        <v>593</v>
      </c>
    </row>
    <row r="2" spans="1:11" x14ac:dyDescent="0.3">
      <c r="A2" s="3" t="s">
        <v>103</v>
      </c>
      <c r="B2" s="3" t="s">
        <v>135</v>
      </c>
      <c r="C2" s="3">
        <v>27</v>
      </c>
      <c r="D2" s="3">
        <v>13</v>
      </c>
      <c r="E2" s="3">
        <v>1</v>
      </c>
      <c r="F2" s="3">
        <v>6</v>
      </c>
      <c r="G2" s="3">
        <v>7</v>
      </c>
      <c r="H2" s="3">
        <v>15.166666666666666</v>
      </c>
      <c r="I2" s="8">
        <v>1.2753623188405795E-2</v>
      </c>
      <c r="J2" s="8">
        <v>0.13391304347826086</v>
      </c>
      <c r="K2" s="7" t="b">
        <v>0</v>
      </c>
    </row>
    <row r="3" spans="1:11" x14ac:dyDescent="0.3">
      <c r="A3" s="3" t="s">
        <v>103</v>
      </c>
      <c r="B3" s="3" t="s">
        <v>136</v>
      </c>
      <c r="C3" s="3">
        <v>27</v>
      </c>
      <c r="D3" s="3">
        <v>13</v>
      </c>
      <c r="E3" s="3">
        <v>1</v>
      </c>
      <c r="F3" s="3">
        <v>8</v>
      </c>
      <c r="G3" s="3">
        <v>5</v>
      </c>
      <c r="H3" s="3">
        <v>8.125</v>
      </c>
      <c r="I3" s="8">
        <v>7.6811594202898542E-2</v>
      </c>
      <c r="J3" s="8">
        <v>0.32260869565217387</v>
      </c>
      <c r="K3" s="7" t="b">
        <v>0</v>
      </c>
    </row>
    <row r="4" spans="1:11" x14ac:dyDescent="0.3">
      <c r="A4" s="3" t="s">
        <v>103</v>
      </c>
      <c r="B4" s="3" t="s">
        <v>137</v>
      </c>
      <c r="C4" s="3">
        <v>27</v>
      </c>
      <c r="D4" s="3">
        <v>13</v>
      </c>
      <c r="E4" s="3">
        <v>1</v>
      </c>
      <c r="F4" s="3">
        <v>6</v>
      </c>
      <c r="G4" s="3">
        <v>7</v>
      </c>
      <c r="H4" s="3">
        <v>15.166666666666666</v>
      </c>
      <c r="I4" s="8">
        <v>1.2753623188405795E-2</v>
      </c>
      <c r="J4" s="8">
        <v>0.13391304347826086</v>
      </c>
      <c r="K4" s="7" t="b">
        <v>0</v>
      </c>
    </row>
    <row r="5" spans="1:11" x14ac:dyDescent="0.3">
      <c r="A5" s="3" t="s">
        <v>105</v>
      </c>
      <c r="B5" s="3" t="s">
        <v>135</v>
      </c>
      <c r="C5" s="3">
        <v>27</v>
      </c>
      <c r="D5" s="3">
        <v>3</v>
      </c>
      <c r="E5" s="3">
        <v>0</v>
      </c>
      <c r="F5" s="3">
        <v>16</v>
      </c>
      <c r="G5" s="3">
        <v>8</v>
      </c>
      <c r="H5" s="3" t="s">
        <v>594</v>
      </c>
      <c r="I5" s="8">
        <v>0.53230769230769226</v>
      </c>
      <c r="J5" s="8">
        <v>0.88639053254437861</v>
      </c>
      <c r="K5" s="7" t="b">
        <v>0</v>
      </c>
    </row>
    <row r="6" spans="1:11" x14ac:dyDescent="0.3">
      <c r="A6" s="3" t="s">
        <v>105</v>
      </c>
      <c r="B6" s="3" t="s">
        <v>136</v>
      </c>
      <c r="C6" s="3">
        <v>27</v>
      </c>
      <c r="D6" s="3">
        <v>3</v>
      </c>
      <c r="E6" s="3">
        <v>0</v>
      </c>
      <c r="F6" s="3">
        <v>18</v>
      </c>
      <c r="G6" s="3">
        <v>6</v>
      </c>
      <c r="H6" s="3" t="s">
        <v>594</v>
      </c>
      <c r="I6" s="8">
        <v>1</v>
      </c>
      <c r="J6" s="8">
        <v>1</v>
      </c>
      <c r="K6" s="7" t="b">
        <v>0</v>
      </c>
    </row>
    <row r="7" spans="1:11" x14ac:dyDescent="0.3">
      <c r="A7" s="3" t="s">
        <v>105</v>
      </c>
      <c r="B7" s="3" t="s">
        <v>137</v>
      </c>
      <c r="C7" s="3">
        <v>27</v>
      </c>
      <c r="D7" s="3">
        <v>3</v>
      </c>
      <c r="E7" s="3">
        <v>0</v>
      </c>
      <c r="F7" s="3">
        <v>16</v>
      </c>
      <c r="G7" s="3">
        <v>8</v>
      </c>
      <c r="H7" s="3" t="s">
        <v>594</v>
      </c>
      <c r="I7" s="8">
        <v>0.53230769230769226</v>
      </c>
      <c r="J7" s="8">
        <v>0.88639053254437861</v>
      </c>
      <c r="K7" s="7" t="b">
        <v>0</v>
      </c>
    </row>
    <row r="8" spans="1:11" x14ac:dyDescent="0.3">
      <c r="A8" s="3" t="s">
        <v>100</v>
      </c>
      <c r="B8" s="3" t="s">
        <v>135</v>
      </c>
      <c r="C8" s="3">
        <v>27</v>
      </c>
      <c r="D8" s="3">
        <v>4</v>
      </c>
      <c r="E8" s="3">
        <v>1</v>
      </c>
      <c r="F8" s="3">
        <v>15</v>
      </c>
      <c r="G8" s="3">
        <v>7</v>
      </c>
      <c r="H8" s="3">
        <v>1.8666666666666667</v>
      </c>
      <c r="I8" s="8">
        <v>1</v>
      </c>
      <c r="J8" s="8">
        <v>1</v>
      </c>
      <c r="K8" s="7" t="b">
        <v>0</v>
      </c>
    </row>
    <row r="9" spans="1:11" x14ac:dyDescent="0.3">
      <c r="A9" s="3" t="s">
        <v>100</v>
      </c>
      <c r="B9" s="3" t="s">
        <v>136</v>
      </c>
      <c r="C9" s="3">
        <v>27</v>
      </c>
      <c r="D9" s="3">
        <v>4</v>
      </c>
      <c r="E9" s="3">
        <v>1</v>
      </c>
      <c r="F9" s="3">
        <v>17</v>
      </c>
      <c r="G9" s="3">
        <v>5</v>
      </c>
      <c r="H9" s="3">
        <v>1.1764705882352942</v>
      </c>
      <c r="I9" s="8">
        <v>1</v>
      </c>
      <c r="J9" s="8">
        <v>1</v>
      </c>
      <c r="K9" s="7" t="b">
        <v>0</v>
      </c>
    </row>
    <row r="10" spans="1:11" x14ac:dyDescent="0.3">
      <c r="A10" s="3" t="s">
        <v>100</v>
      </c>
      <c r="B10" s="3" t="s">
        <v>137</v>
      </c>
      <c r="C10" s="3">
        <v>27</v>
      </c>
      <c r="D10" s="3">
        <v>4</v>
      </c>
      <c r="E10" s="3">
        <v>1</v>
      </c>
      <c r="F10" s="3">
        <v>15</v>
      </c>
      <c r="G10" s="3">
        <v>7</v>
      </c>
      <c r="H10" s="3">
        <v>1.8666666666666667</v>
      </c>
      <c r="I10" s="8">
        <v>1</v>
      </c>
      <c r="J10" s="8">
        <v>1</v>
      </c>
      <c r="K10" s="7" t="b">
        <v>0</v>
      </c>
    </row>
    <row r="11" spans="1:11" x14ac:dyDescent="0.3">
      <c r="A11" s="3" t="s">
        <v>93</v>
      </c>
      <c r="B11" s="3" t="s">
        <v>139</v>
      </c>
      <c r="C11" s="3">
        <v>27</v>
      </c>
      <c r="D11" s="3">
        <v>19</v>
      </c>
      <c r="E11" s="3">
        <v>2</v>
      </c>
      <c r="F11" s="3">
        <v>5</v>
      </c>
      <c r="G11" s="3">
        <v>1</v>
      </c>
      <c r="H11" s="3">
        <v>1.9</v>
      </c>
      <c r="I11" s="8">
        <v>0.54529914529914536</v>
      </c>
      <c r="J11" s="8">
        <v>0.88639053254437861</v>
      </c>
      <c r="K11" s="7" t="b">
        <v>0</v>
      </c>
    </row>
    <row r="12" spans="1:11" x14ac:dyDescent="0.3">
      <c r="A12" s="3" t="s">
        <v>93</v>
      </c>
      <c r="B12" s="3" t="s">
        <v>140</v>
      </c>
      <c r="C12" s="3">
        <v>27</v>
      </c>
      <c r="D12" s="3">
        <v>21</v>
      </c>
      <c r="E12" s="3">
        <v>0</v>
      </c>
      <c r="F12" s="3">
        <v>6</v>
      </c>
      <c r="G12" s="3">
        <v>0</v>
      </c>
      <c r="H12" s="3" t="s">
        <v>595</v>
      </c>
      <c r="I12" s="8">
        <v>1</v>
      </c>
      <c r="J12" s="8">
        <v>1</v>
      </c>
      <c r="K12" s="7" t="b">
        <v>0</v>
      </c>
    </row>
    <row r="13" spans="1:11" x14ac:dyDescent="0.3">
      <c r="A13" s="3" t="s">
        <v>93</v>
      </c>
      <c r="B13" s="3" t="s">
        <v>142</v>
      </c>
      <c r="C13" s="3">
        <v>27</v>
      </c>
      <c r="D13" s="3">
        <v>21</v>
      </c>
      <c r="E13" s="3">
        <v>0</v>
      </c>
      <c r="F13" s="3">
        <v>4</v>
      </c>
      <c r="G13" s="3">
        <v>2</v>
      </c>
      <c r="H13" s="3" t="s">
        <v>594</v>
      </c>
      <c r="I13" s="8">
        <v>4.2735042735042743E-2</v>
      </c>
      <c r="J13" s="8">
        <v>0.29615384615384616</v>
      </c>
      <c r="K13" s="7" t="b">
        <v>0</v>
      </c>
    </row>
    <row r="14" spans="1:11" x14ac:dyDescent="0.3">
      <c r="A14" s="3" t="s">
        <v>93</v>
      </c>
      <c r="B14" s="3" t="s">
        <v>143</v>
      </c>
      <c r="C14" s="3">
        <v>27</v>
      </c>
      <c r="D14" s="3">
        <v>19</v>
      </c>
      <c r="E14" s="3">
        <v>2</v>
      </c>
      <c r="F14" s="3">
        <v>5</v>
      </c>
      <c r="G14" s="3">
        <v>1</v>
      </c>
      <c r="H14" s="3">
        <v>1.9</v>
      </c>
      <c r="I14" s="8">
        <v>0.54529914529914536</v>
      </c>
      <c r="J14" s="8">
        <v>0.88639053254437861</v>
      </c>
      <c r="K14" s="7" t="b">
        <v>0</v>
      </c>
    </row>
    <row r="15" spans="1:11" x14ac:dyDescent="0.3">
      <c r="A15" s="3" t="s">
        <v>92</v>
      </c>
      <c r="B15" s="3" t="s">
        <v>139</v>
      </c>
      <c r="C15" s="3">
        <v>27</v>
      </c>
      <c r="D15" s="3">
        <v>16</v>
      </c>
      <c r="E15" s="3">
        <v>1</v>
      </c>
      <c r="F15" s="3">
        <v>8</v>
      </c>
      <c r="G15" s="3">
        <v>2</v>
      </c>
      <c r="H15" s="3">
        <v>4</v>
      </c>
      <c r="I15" s="8">
        <v>0.53504273504273503</v>
      </c>
      <c r="J15" s="8">
        <v>0.88639053254437861</v>
      </c>
      <c r="K15" s="7" t="b">
        <v>0</v>
      </c>
    </row>
    <row r="16" spans="1:11" x14ac:dyDescent="0.3">
      <c r="A16" s="3" t="s">
        <v>92</v>
      </c>
      <c r="B16" s="3" t="s">
        <v>140</v>
      </c>
      <c r="C16" s="3">
        <v>27</v>
      </c>
      <c r="D16" s="3">
        <v>17</v>
      </c>
      <c r="E16" s="3">
        <v>0</v>
      </c>
      <c r="F16" s="3">
        <v>10</v>
      </c>
      <c r="G16" s="3">
        <v>0</v>
      </c>
      <c r="H16" s="3" t="s">
        <v>595</v>
      </c>
      <c r="I16" s="8">
        <v>1</v>
      </c>
      <c r="J16" s="8">
        <v>1</v>
      </c>
      <c r="K16" s="7" t="b">
        <v>0</v>
      </c>
    </row>
    <row r="17" spans="1:11" x14ac:dyDescent="0.3">
      <c r="A17" s="3" t="s">
        <v>92</v>
      </c>
      <c r="B17" s="3" t="s">
        <v>142</v>
      </c>
      <c r="C17" s="3">
        <v>27</v>
      </c>
      <c r="D17" s="3">
        <v>15</v>
      </c>
      <c r="E17" s="3">
        <v>2</v>
      </c>
      <c r="F17" s="3">
        <v>10</v>
      </c>
      <c r="G17" s="3">
        <v>0</v>
      </c>
      <c r="H17" s="3">
        <v>0</v>
      </c>
      <c r="I17" s="8">
        <v>0.51566951566951569</v>
      </c>
      <c r="J17" s="8">
        <v>0.88639053254437861</v>
      </c>
      <c r="K17" s="7" t="b">
        <v>0</v>
      </c>
    </row>
    <row r="18" spans="1:11" x14ac:dyDescent="0.3">
      <c r="A18" s="3" t="s">
        <v>92</v>
      </c>
      <c r="B18" s="3" t="s">
        <v>143</v>
      </c>
      <c r="C18" s="3">
        <v>27</v>
      </c>
      <c r="D18" s="3">
        <v>15</v>
      </c>
      <c r="E18" s="3">
        <v>2</v>
      </c>
      <c r="F18" s="3">
        <v>9</v>
      </c>
      <c r="G18" s="3">
        <v>1</v>
      </c>
      <c r="H18" s="3">
        <v>0.83333333333333337</v>
      </c>
      <c r="I18" s="8">
        <v>1</v>
      </c>
      <c r="J18" s="8">
        <v>1</v>
      </c>
      <c r="K18" s="7" t="b">
        <v>0</v>
      </c>
    </row>
    <row r="19" spans="1:11" x14ac:dyDescent="0.3">
      <c r="A19" s="3" t="s">
        <v>104</v>
      </c>
      <c r="B19" s="3" t="s">
        <v>139</v>
      </c>
      <c r="C19" s="3">
        <v>27</v>
      </c>
      <c r="D19" s="3">
        <v>16</v>
      </c>
      <c r="E19" s="3">
        <v>0</v>
      </c>
      <c r="F19" s="3">
        <v>8</v>
      </c>
      <c r="G19" s="3">
        <v>3</v>
      </c>
      <c r="H19" s="3" t="s">
        <v>594</v>
      </c>
      <c r="I19" s="8">
        <v>5.6410256410256411E-2</v>
      </c>
      <c r="J19" s="8">
        <v>0.29615384615384616</v>
      </c>
      <c r="K19" s="7" t="b">
        <v>0</v>
      </c>
    </row>
    <row r="20" spans="1:11" x14ac:dyDescent="0.3">
      <c r="A20" s="3" t="s">
        <v>104</v>
      </c>
      <c r="B20" s="3" t="s">
        <v>140</v>
      </c>
      <c r="C20" s="3">
        <v>27</v>
      </c>
      <c r="D20" s="3">
        <v>16</v>
      </c>
      <c r="E20" s="3">
        <v>0</v>
      </c>
      <c r="F20" s="3">
        <v>11</v>
      </c>
      <c r="G20" s="3">
        <v>0</v>
      </c>
      <c r="H20" s="3" t="s">
        <v>595</v>
      </c>
      <c r="I20" s="8">
        <v>1</v>
      </c>
      <c r="J20" s="8">
        <v>1</v>
      </c>
      <c r="K20" s="7" t="b">
        <v>0</v>
      </c>
    </row>
    <row r="21" spans="1:11" x14ac:dyDescent="0.3">
      <c r="A21" s="3" t="s">
        <v>104</v>
      </c>
      <c r="B21" s="3" t="s">
        <v>142</v>
      </c>
      <c r="C21" s="3">
        <v>27</v>
      </c>
      <c r="D21" s="3">
        <v>16</v>
      </c>
      <c r="E21" s="3">
        <v>0</v>
      </c>
      <c r="F21" s="3">
        <v>9</v>
      </c>
      <c r="G21" s="3">
        <v>2</v>
      </c>
      <c r="H21" s="3" t="s">
        <v>594</v>
      </c>
      <c r="I21" s="8">
        <v>0.15669515669515668</v>
      </c>
      <c r="J21" s="8">
        <v>0.54843304843304841</v>
      </c>
      <c r="K21" s="7" t="b">
        <v>0</v>
      </c>
    </row>
    <row r="22" spans="1:11" x14ac:dyDescent="0.3">
      <c r="A22" s="3" t="s">
        <v>104</v>
      </c>
      <c r="B22" s="3" t="s">
        <v>143</v>
      </c>
      <c r="C22" s="3">
        <v>27</v>
      </c>
      <c r="D22" s="3">
        <v>15</v>
      </c>
      <c r="E22" s="3">
        <v>1</v>
      </c>
      <c r="F22" s="3">
        <v>9</v>
      </c>
      <c r="G22" s="3">
        <v>2</v>
      </c>
      <c r="H22" s="3">
        <v>3.3333333333333335</v>
      </c>
      <c r="I22" s="8">
        <v>0.54871794871794866</v>
      </c>
      <c r="J22" s="8">
        <v>0.88639053254437861</v>
      </c>
      <c r="K22" s="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Final results</vt:lpstr>
      <vt:lpstr>Matched_samples</vt:lpstr>
      <vt:lpstr>Summary</vt:lpstr>
      <vt:lpstr>Selected_marker_list</vt:lpstr>
      <vt:lpstr>AST_columns</vt:lpstr>
      <vt:lpstr>Gene-drug tests corrected</vt:lpstr>
      <vt:lpstr>Verification summary</vt:lpstr>
      <vt:lpstr>Source_Audit</vt:lpstr>
      <vt:lpstr>Publisher_AST_raw</vt:lpstr>
      <vt:lpstr>Publisher_Genes_raw</vt:lpstr>
      <vt:lpstr>Publisher_Mutations_raw</vt:lpstr>
      <vt:lpstr>Publisher_MIC_raw</vt:lpstr>
      <vt:lpstr>Verified_Matched_Data</vt:lpstr>
      <vt:lpstr>Correlation_Summary</vt:lpstr>
      <vt:lpstr>Gene_Drug_Tests_Verified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 Elsayed</cp:lastModifiedBy>
  <dcterms:modified xsi:type="dcterms:W3CDTF">2026-10-15T20:51:53Z</dcterms:modified>
</cp:coreProperties>
</file>